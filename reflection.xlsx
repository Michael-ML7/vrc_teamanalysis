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hz\OneDrive\Desktop\vex worlds 2425\"/>
    </mc:Choice>
  </mc:AlternateContent>
  <xr:revisionPtr revIDLastSave="0" documentId="13_ncr:1_{A62F2BC6-50C5-408C-9D98-A84676BF1E5D}" xr6:coauthVersionLast="47" xr6:coauthVersionMax="47" xr10:uidLastSave="{00000000-0000-0000-0000-000000000000}"/>
  <bookViews>
    <workbookView xWindow="-108" yWindow="-108" windowWidth="23256" windowHeight="13176" activeTab="1" xr2:uid="{FB6656BC-2324-4EA5-B097-3C8A44B515C5}"/>
  </bookViews>
  <sheets>
    <sheet name="All matches" sheetId="1" r:id="rId1"/>
    <sheet name="86254B match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3" l="1"/>
  <c r="O2" i="1"/>
  <c r="Q2" i="1" s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66" i="1"/>
  <c r="Q66" i="1" s="1"/>
  <c r="O67" i="1"/>
  <c r="Q67" i="1" s="1"/>
  <c r="O68" i="1"/>
  <c r="Q68" i="1" s="1"/>
  <c r="O69" i="1"/>
  <c r="Q69" i="1" s="1"/>
  <c r="O70" i="1"/>
  <c r="Q70" i="1" s="1"/>
  <c r="O71" i="1"/>
  <c r="Q71" i="1" s="1"/>
  <c r="O72" i="1"/>
  <c r="Q72" i="1" s="1"/>
  <c r="O73" i="1"/>
  <c r="Q73" i="1" s="1"/>
  <c r="O74" i="1"/>
  <c r="Q74" i="1" s="1"/>
  <c r="O75" i="1"/>
  <c r="Q75" i="1" s="1"/>
  <c r="O76" i="1"/>
  <c r="Q76" i="1" s="1"/>
  <c r="O77" i="1"/>
  <c r="Q77" i="1" s="1"/>
  <c r="O78" i="1"/>
  <c r="Q78" i="1" s="1"/>
  <c r="O79" i="1"/>
  <c r="Q79" i="1" s="1"/>
  <c r="O80" i="1"/>
  <c r="Q80" i="1" s="1"/>
  <c r="O81" i="1"/>
  <c r="Q81" i="1" s="1"/>
  <c r="O8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L82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83" i="1"/>
  <c r="J11" i="3"/>
  <c r="J10" i="3"/>
  <c r="J9" i="3"/>
  <c r="J8" i="3"/>
  <c r="J7" i="3"/>
  <c r="J6" i="3"/>
  <c r="J5" i="3"/>
  <c r="J4" i="3"/>
  <c r="J3" i="3"/>
  <c r="J2" i="3"/>
  <c r="O209" i="1"/>
  <c r="O84" i="1"/>
  <c r="O85" i="1"/>
  <c r="O86" i="1"/>
  <c r="O87" i="1"/>
  <c r="O88" i="1"/>
  <c r="O89" i="1"/>
  <c r="O90" i="1"/>
  <c r="O91" i="1"/>
  <c r="O92" i="1"/>
  <c r="Q92" i="1" s="1"/>
  <c r="O93" i="1"/>
  <c r="O94" i="1"/>
  <c r="O95" i="1"/>
  <c r="O96" i="1"/>
  <c r="O97" i="1"/>
  <c r="O98" i="1"/>
  <c r="O99" i="1"/>
  <c r="O100" i="1"/>
  <c r="Q100" i="1" s="1"/>
  <c r="O101" i="1"/>
  <c r="O102" i="1"/>
  <c r="O103" i="1"/>
  <c r="O104" i="1"/>
  <c r="O105" i="1"/>
  <c r="O106" i="1"/>
  <c r="O107" i="1"/>
  <c r="O108" i="1"/>
  <c r="Q108" i="1" s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Q140" i="1" s="1"/>
  <c r="O141" i="1"/>
  <c r="O142" i="1"/>
  <c r="O143" i="1"/>
  <c r="O144" i="1"/>
  <c r="O145" i="1"/>
  <c r="O146" i="1"/>
  <c r="O147" i="1"/>
  <c r="O148" i="1"/>
  <c r="Q148" i="1" s="1"/>
  <c r="O149" i="1"/>
  <c r="O150" i="1"/>
  <c r="O151" i="1"/>
  <c r="O152" i="1"/>
  <c r="O153" i="1"/>
  <c r="O154" i="1"/>
  <c r="O155" i="1"/>
  <c r="O156" i="1"/>
  <c r="Q156" i="1" s="1"/>
  <c r="O157" i="1"/>
  <c r="O158" i="1"/>
  <c r="O159" i="1"/>
  <c r="O160" i="1"/>
  <c r="O161" i="1"/>
  <c r="O162" i="1"/>
  <c r="O163" i="1"/>
  <c r="O164" i="1"/>
  <c r="Q164" i="1" s="1"/>
  <c r="O165" i="1"/>
  <c r="O166" i="1"/>
  <c r="O167" i="1"/>
  <c r="O168" i="1"/>
  <c r="O169" i="1"/>
  <c r="O170" i="1"/>
  <c r="O171" i="1"/>
  <c r="O172" i="1"/>
  <c r="Q172" i="1" s="1"/>
  <c r="O173" i="1"/>
  <c r="O174" i="1"/>
  <c r="O175" i="1"/>
  <c r="O176" i="1"/>
  <c r="O177" i="1"/>
  <c r="O178" i="1"/>
  <c r="O179" i="1"/>
  <c r="O180" i="1"/>
  <c r="Q180" i="1" s="1"/>
  <c r="O181" i="1"/>
  <c r="O182" i="1"/>
  <c r="O183" i="1"/>
  <c r="O184" i="1"/>
  <c r="O185" i="1"/>
  <c r="O186" i="1"/>
  <c r="O187" i="1"/>
  <c r="O188" i="1"/>
  <c r="Q188" i="1" s="1"/>
  <c r="O189" i="1"/>
  <c r="O190" i="1"/>
  <c r="O191" i="1"/>
  <c r="O192" i="1"/>
  <c r="O193" i="1"/>
  <c r="O194" i="1"/>
  <c r="O195" i="1"/>
  <c r="O196" i="1"/>
  <c r="Q196" i="1" s="1"/>
  <c r="O197" i="1"/>
  <c r="O198" i="1"/>
  <c r="O199" i="1"/>
  <c r="O200" i="1"/>
  <c r="O201" i="1"/>
  <c r="O202" i="1"/>
  <c r="O203" i="1"/>
  <c r="O204" i="1"/>
  <c r="Q204" i="1" s="1"/>
  <c r="O205" i="1"/>
  <c r="O206" i="1"/>
  <c r="O207" i="1"/>
  <c r="O208" i="1"/>
  <c r="O83" i="1"/>
  <c r="K82" i="1"/>
  <c r="K83" i="1"/>
  <c r="K84" i="1"/>
  <c r="K85" i="1"/>
  <c r="K86" i="1"/>
  <c r="K87" i="1"/>
  <c r="Q87" i="1" s="1"/>
  <c r="AA21" i="1"/>
  <c r="K88" i="1"/>
  <c r="Q88" i="1" s="1"/>
  <c r="Q82" i="1" l="1"/>
  <c r="Q83" i="1"/>
  <c r="K89" i="1"/>
  <c r="Q89" i="1" s="1"/>
  <c r="Q86" i="1"/>
  <c r="Q84" i="1"/>
  <c r="Q116" i="1"/>
  <c r="Q197" i="1"/>
  <c r="Q173" i="1"/>
  <c r="Q157" i="1"/>
  <c r="Q141" i="1"/>
  <c r="Q117" i="1"/>
  <c r="Q93" i="1"/>
  <c r="Q150" i="1"/>
  <c r="Q118" i="1"/>
  <c r="Q110" i="1"/>
  <c r="Q124" i="1"/>
  <c r="Q205" i="1"/>
  <c r="Q181" i="1"/>
  <c r="Q149" i="1"/>
  <c r="Q125" i="1"/>
  <c r="Q101" i="1"/>
  <c r="Q158" i="1"/>
  <c r="Q134" i="1"/>
  <c r="Q94" i="1"/>
  <c r="Q132" i="1"/>
  <c r="Q189" i="1"/>
  <c r="Q165" i="1"/>
  <c r="Q133" i="1"/>
  <c r="Q109" i="1"/>
  <c r="Q85" i="1"/>
  <c r="Q142" i="1"/>
  <c r="Q126" i="1"/>
  <c r="Q102" i="1"/>
  <c r="K90" i="1"/>
  <c r="Q90" i="1" s="1"/>
  <c r="K91" i="1"/>
  <c r="Q91" i="1" s="1"/>
  <c r="K92" i="1"/>
  <c r="K93" i="1"/>
  <c r="K94" i="1"/>
  <c r="K95" i="1"/>
  <c r="Q95" i="1" s="1"/>
  <c r="K96" i="1"/>
  <c r="Q96" i="1" s="1"/>
  <c r="Q206" i="1"/>
  <c r="Q198" i="1"/>
  <c r="Q190" i="1"/>
  <c r="Q182" i="1"/>
  <c r="Q174" i="1"/>
  <c r="Q166" i="1"/>
  <c r="K97" i="1"/>
  <c r="Q97" i="1" s="1"/>
  <c r="K98" i="1"/>
  <c r="Q98" i="1" s="1"/>
  <c r="K99" i="1"/>
  <c r="Q99" i="1" s="1"/>
  <c r="K100" i="1"/>
  <c r="K101" i="1"/>
  <c r="K102" i="1"/>
  <c r="K103" i="1"/>
  <c r="Q103" i="1" s="1"/>
  <c r="K104" i="1"/>
  <c r="Q104" i="1" s="1"/>
  <c r="K105" i="1"/>
  <c r="Q105" i="1" s="1"/>
  <c r="K106" i="1"/>
  <c r="Q106" i="1" s="1"/>
  <c r="K107" i="1"/>
  <c r="Q107" i="1" s="1"/>
  <c r="K108" i="1"/>
  <c r="K109" i="1"/>
  <c r="K110" i="1"/>
  <c r="K111" i="1"/>
  <c r="Q111" i="1" s="1"/>
  <c r="K112" i="1"/>
  <c r="Q112" i="1" s="1"/>
  <c r="K113" i="1"/>
  <c r="Q113" i="1" s="1"/>
  <c r="K114" i="1"/>
  <c r="Q114" i="1" s="1"/>
  <c r="K115" i="1"/>
  <c r="Q115" i="1" s="1"/>
  <c r="K116" i="1"/>
  <c r="K117" i="1"/>
  <c r="K118" i="1"/>
  <c r="K119" i="1"/>
  <c r="Q119" i="1" s="1"/>
  <c r="K120" i="1"/>
  <c r="Q120" i="1" s="1"/>
  <c r="K121" i="1"/>
  <c r="Q121" i="1" s="1"/>
  <c r="K122" i="1"/>
  <c r="Q122" i="1" s="1"/>
  <c r="K123" i="1"/>
  <c r="Q123" i="1" s="1"/>
  <c r="K124" i="1"/>
  <c r="K125" i="1"/>
  <c r="K126" i="1"/>
  <c r="K127" i="1"/>
  <c r="Q127" i="1" s="1"/>
  <c r="K128" i="1"/>
  <c r="Q128" i="1" s="1"/>
  <c r="K129" i="1"/>
  <c r="Q129" i="1" s="1"/>
  <c r="K130" i="1"/>
  <c r="Q130" i="1" s="1"/>
  <c r="K131" i="1"/>
  <c r="Q131" i="1" s="1"/>
  <c r="K132" i="1"/>
  <c r="K133" i="1"/>
  <c r="K134" i="1"/>
  <c r="K135" i="1"/>
  <c r="Q135" i="1" s="1"/>
  <c r="K136" i="1"/>
  <c r="Q136" i="1" s="1"/>
  <c r="K137" i="1"/>
  <c r="Q137" i="1" s="1"/>
  <c r="K138" i="1"/>
  <c r="Q138" i="1" s="1"/>
  <c r="K139" i="1"/>
  <c r="Q139" i="1" s="1"/>
  <c r="K140" i="1"/>
  <c r="K141" i="1"/>
  <c r="K142" i="1"/>
  <c r="K143" i="1"/>
  <c r="Q143" i="1" s="1"/>
  <c r="K144" i="1"/>
  <c r="Q144" i="1" s="1"/>
  <c r="K145" i="1"/>
  <c r="Q145" i="1" s="1"/>
  <c r="K146" i="1"/>
  <c r="Q146" i="1" s="1"/>
  <c r="K147" i="1"/>
  <c r="Q147" i="1" s="1"/>
  <c r="K148" i="1"/>
  <c r="K149" i="1"/>
  <c r="K150" i="1"/>
  <c r="K151" i="1"/>
  <c r="Q151" i="1" s="1"/>
  <c r="K152" i="1"/>
  <c r="Q152" i="1" s="1"/>
  <c r="K153" i="1"/>
  <c r="Q153" i="1" s="1"/>
  <c r="K154" i="1"/>
  <c r="Q154" i="1" s="1"/>
  <c r="K155" i="1"/>
  <c r="Q155" i="1" s="1"/>
  <c r="K156" i="1"/>
  <c r="K157" i="1"/>
  <c r="K158" i="1"/>
  <c r="K159" i="1"/>
  <c r="Q159" i="1" s="1"/>
  <c r="K160" i="1"/>
  <c r="Q160" i="1" s="1"/>
  <c r="K161" i="1"/>
  <c r="Q161" i="1" s="1"/>
  <c r="K162" i="1"/>
  <c r="Q162" i="1" s="1"/>
  <c r="K163" i="1"/>
  <c r="Q163" i="1" s="1"/>
  <c r="K164" i="1"/>
  <c r="K165" i="1"/>
  <c r="K166" i="1"/>
  <c r="K167" i="1"/>
  <c r="Q167" i="1" s="1"/>
  <c r="K168" i="1"/>
  <c r="Q168" i="1" s="1"/>
  <c r="K169" i="1"/>
  <c r="Q169" i="1" s="1"/>
  <c r="K170" i="1"/>
  <c r="Q170" i="1" s="1"/>
  <c r="K171" i="1"/>
  <c r="Q171" i="1" s="1"/>
  <c r="K172" i="1"/>
  <c r="K173" i="1"/>
  <c r="K174" i="1"/>
  <c r="K175" i="1"/>
  <c r="Q175" i="1" s="1"/>
  <c r="K176" i="1"/>
  <c r="Q176" i="1" s="1"/>
  <c r="K177" i="1"/>
  <c r="Q177" i="1" s="1"/>
  <c r="K178" i="1"/>
  <c r="Q178" i="1" s="1"/>
  <c r="K179" i="1"/>
  <c r="Q179" i="1" s="1"/>
  <c r="K180" i="1"/>
  <c r="K181" i="1"/>
  <c r="K182" i="1"/>
  <c r="K183" i="1"/>
  <c r="Q183" i="1" s="1"/>
  <c r="K184" i="1"/>
  <c r="Q184" i="1" s="1"/>
  <c r="K185" i="1"/>
  <c r="Q185" i="1" s="1"/>
  <c r="K186" i="1"/>
  <c r="Q186" i="1" s="1"/>
  <c r="K187" i="1"/>
  <c r="Q187" i="1" s="1"/>
  <c r="K188" i="1"/>
  <c r="K189" i="1"/>
  <c r="K190" i="1"/>
  <c r="K191" i="1"/>
  <c r="Q191" i="1" s="1"/>
  <c r="K192" i="1"/>
  <c r="Q192" i="1" s="1"/>
  <c r="K193" i="1"/>
  <c r="Q193" i="1" s="1"/>
  <c r="K194" i="1"/>
  <c r="Q194" i="1" s="1"/>
  <c r="K195" i="1"/>
  <c r="Q195" i="1" s="1"/>
  <c r="K196" i="1"/>
  <c r="K197" i="1"/>
  <c r="K198" i="1"/>
  <c r="K199" i="1"/>
  <c r="Q199" i="1" s="1"/>
  <c r="K200" i="1"/>
  <c r="Q200" i="1" s="1"/>
  <c r="K201" i="1"/>
  <c r="Q201" i="1" s="1"/>
  <c r="K202" i="1"/>
  <c r="Q202" i="1" s="1"/>
  <c r="K203" i="1"/>
  <c r="Q203" i="1" s="1"/>
  <c r="K204" i="1"/>
  <c r="K205" i="1"/>
  <c r="K206" i="1"/>
  <c r="K207" i="1"/>
  <c r="Q207" i="1" s="1"/>
  <c r="K208" i="1"/>
  <c r="Q208" i="1" s="1"/>
  <c r="K209" i="1"/>
  <c r="Q209" i="1" s="1"/>
  <c r="AA25" i="1" l="1"/>
</calcChain>
</file>

<file path=xl/sharedStrings.xml><?xml version="1.0" encoding="utf-8"?>
<sst xmlns="http://schemas.openxmlformats.org/spreadsheetml/2006/main" count="1118" uniqueCount="317">
  <si>
    <t>Match</t>
  </si>
  <si>
    <t>Red Teams</t>
  </si>
  <si>
    <t>Score</t>
  </si>
  <si>
    <t>Blue Teams</t>
  </si>
  <si>
    <t>Qualifier #1</t>
  </si>
  <si>
    <t>43272A</t>
  </si>
  <si>
    <t>23805S</t>
  </si>
  <si>
    <t>83149B</t>
  </si>
  <si>
    <t>16099D</t>
  </si>
  <si>
    <t>Qualifier #2</t>
  </si>
  <si>
    <t>45434S</t>
  </si>
  <si>
    <t>36830B</t>
  </si>
  <si>
    <t>8682C</t>
  </si>
  <si>
    <t>10478S</t>
  </si>
  <si>
    <t>Qualifier #3</t>
  </si>
  <si>
    <t>2775V</t>
  </si>
  <si>
    <t>8349U</t>
  </si>
  <si>
    <t>719S</t>
  </si>
  <si>
    <t>32792B</t>
  </si>
  <si>
    <t>Qualifier #4</t>
  </si>
  <si>
    <t>937X</t>
  </si>
  <si>
    <t>59001A</t>
  </si>
  <si>
    <t>9065H</t>
  </si>
  <si>
    <t>6121A</t>
  </si>
  <si>
    <t>Qualifier #5</t>
  </si>
  <si>
    <t>2072C</t>
  </si>
  <si>
    <t>53999P</t>
  </si>
  <si>
    <t>1115E</t>
  </si>
  <si>
    <t>8047F</t>
  </si>
  <si>
    <t>Qualifier #6</t>
  </si>
  <si>
    <t>86254B</t>
  </si>
  <si>
    <t>1868A</t>
  </si>
  <si>
    <t>99904W</t>
  </si>
  <si>
    <t>1381P</t>
  </si>
  <si>
    <t>Qualifier #7</t>
  </si>
  <si>
    <t>16756B</t>
  </si>
  <si>
    <t>6741R</t>
  </si>
  <si>
    <t>66799G</t>
  </si>
  <si>
    <t>2011C</t>
  </si>
  <si>
    <t>Qualifier #8</t>
  </si>
  <si>
    <t>18031A</t>
  </si>
  <si>
    <t>210Z</t>
  </si>
  <si>
    <t>20605A</t>
  </si>
  <si>
    <t>39H</t>
  </si>
  <si>
    <t>Qualifier #9</t>
  </si>
  <si>
    <t>9784A</t>
  </si>
  <si>
    <t>4148S</t>
  </si>
  <si>
    <t>7870Y</t>
  </si>
  <si>
    <t>1011X</t>
  </si>
  <si>
    <t>Qualifier #10</t>
  </si>
  <si>
    <t>19122B</t>
  </si>
  <si>
    <t>81785K</t>
  </si>
  <si>
    <t>3946S</t>
  </si>
  <si>
    <t>360X</t>
  </si>
  <si>
    <t>Qualifier #11</t>
  </si>
  <si>
    <t>3131V</t>
  </si>
  <si>
    <t>6293X</t>
  </si>
  <si>
    <t>1229W</t>
  </si>
  <si>
    <t>1674A</t>
  </si>
  <si>
    <t>Qualifier #12</t>
  </si>
  <si>
    <t>30214A</t>
  </si>
  <si>
    <t>62629X</t>
  </si>
  <si>
    <t>35016Z</t>
  </si>
  <si>
    <t>2567C</t>
  </si>
  <si>
    <t>Qualifier #13</t>
  </si>
  <si>
    <t>11442Y</t>
  </si>
  <si>
    <t>28828A</t>
  </si>
  <si>
    <t>1065A</t>
  </si>
  <si>
    <t>74000M</t>
  </si>
  <si>
    <t>Qualifier #14</t>
  </si>
  <si>
    <t>4378A</t>
  </si>
  <si>
    <t>14241A</t>
  </si>
  <si>
    <t>5150J</t>
  </si>
  <si>
    <t>2150A</t>
  </si>
  <si>
    <t>Qualifier #15</t>
  </si>
  <si>
    <t>99040E</t>
  </si>
  <si>
    <t>71113X</t>
  </si>
  <si>
    <t>94Z</t>
  </si>
  <si>
    <t>839Z</t>
  </si>
  <si>
    <t>Qualifier #16</t>
  </si>
  <si>
    <t>77717F</t>
  </si>
  <si>
    <t>9231A</t>
  </si>
  <si>
    <t>69403A</t>
  </si>
  <si>
    <t>80001B</t>
  </si>
  <si>
    <t>Qualifier #17</t>
  </si>
  <si>
    <t>39599C</t>
  </si>
  <si>
    <t>96504E</t>
  </si>
  <si>
    <t>97673Z</t>
  </si>
  <si>
    <t>3723A</t>
  </si>
  <si>
    <t>Qualifier #18</t>
  </si>
  <si>
    <t>603B</t>
  </si>
  <si>
    <t>5864D</t>
  </si>
  <si>
    <t>55755A</t>
  </si>
  <si>
    <t>7447G</t>
  </si>
  <si>
    <t>Qualifier #19</t>
  </si>
  <si>
    <t>8889S</t>
  </si>
  <si>
    <t>4828X</t>
  </si>
  <si>
    <t>321D</t>
  </si>
  <si>
    <t>3333W</t>
  </si>
  <si>
    <t>Qualifier #20</t>
  </si>
  <si>
    <t>89250X</t>
  </si>
  <si>
    <t>20096G</t>
  </si>
  <si>
    <t>12478X</t>
  </si>
  <si>
    <t>64783A</t>
  </si>
  <si>
    <t>Qualifier #21</t>
  </si>
  <si>
    <t>75503A</t>
  </si>
  <si>
    <t>93199G</t>
  </si>
  <si>
    <t>7192F</t>
  </si>
  <si>
    <t>Qualifier #22</t>
  </si>
  <si>
    <t>Qualifier #23</t>
  </si>
  <si>
    <t>Qualifier #24</t>
  </si>
  <si>
    <t>Qualifier #25</t>
  </si>
  <si>
    <t>Qualifier #26</t>
  </si>
  <si>
    <t>Qualifier #27</t>
  </si>
  <si>
    <t>Qualifier #28</t>
  </si>
  <si>
    <t>Qualifier #29</t>
  </si>
  <si>
    <t>Qualifier #30</t>
  </si>
  <si>
    <t>Qualifier #31</t>
  </si>
  <si>
    <t>Qualifier #32</t>
  </si>
  <si>
    <t>Qualifier #33</t>
  </si>
  <si>
    <t>Qualifier #34</t>
  </si>
  <si>
    <t>Qualifier #35</t>
  </si>
  <si>
    <t>Qualifier #36</t>
  </si>
  <si>
    <t>Qualifier #37</t>
  </si>
  <si>
    <t>Qualifier #38</t>
  </si>
  <si>
    <t>Qualifier #39</t>
  </si>
  <si>
    <t>Qualifier #40</t>
  </si>
  <si>
    <t>Qualifier #41</t>
  </si>
  <si>
    <t>Qualifier #42</t>
  </si>
  <si>
    <t>Qualifier #43</t>
  </si>
  <si>
    <t>Qualifier #44</t>
  </si>
  <si>
    <t>Qualifier #45</t>
  </si>
  <si>
    <t>Qualifier #46</t>
  </si>
  <si>
    <t>Qualifier #47</t>
  </si>
  <si>
    <t>Qualifier #48</t>
  </si>
  <si>
    <t>Qualifier #49</t>
  </si>
  <si>
    <t>Qualifier #50</t>
  </si>
  <si>
    <t>Qualifier #51</t>
  </si>
  <si>
    <t>Qualifier #52</t>
  </si>
  <si>
    <t>Qualifier #53</t>
  </si>
  <si>
    <t>Qualifier #54</t>
  </si>
  <si>
    <t>Qualifier #55</t>
  </si>
  <si>
    <t>Qualifier #56</t>
  </si>
  <si>
    <t>Qualifier #57</t>
  </si>
  <si>
    <t>Qualifier #58</t>
  </si>
  <si>
    <t>Qualifier #59</t>
  </si>
  <si>
    <t>Qualifier #60</t>
  </si>
  <si>
    <t>Qualifier #61</t>
  </si>
  <si>
    <t>Qualifier #62</t>
  </si>
  <si>
    <t>Qualifier #63</t>
  </si>
  <si>
    <t>Qualifier #64</t>
  </si>
  <si>
    <t>Qualifier #65</t>
  </si>
  <si>
    <t>Qualifier #66</t>
  </si>
  <si>
    <t>Qualifier #67</t>
  </si>
  <si>
    <t>Qualifier #68</t>
  </si>
  <si>
    <t>Qualifier #69</t>
  </si>
  <si>
    <t>Qualifier #70</t>
  </si>
  <si>
    <t>Qualifier #71</t>
  </si>
  <si>
    <t>Qualifier #72</t>
  </si>
  <si>
    <t>Qualifier #73</t>
  </si>
  <si>
    <t>Qualifier #74</t>
  </si>
  <si>
    <t>Qualifier #75</t>
  </si>
  <si>
    <t>Qualifier #76</t>
  </si>
  <si>
    <t>Qualifier #77</t>
  </si>
  <si>
    <t>Qualifier #78</t>
  </si>
  <si>
    <t>Qualifier #79</t>
  </si>
  <si>
    <t>Qualifier #80</t>
  </si>
  <si>
    <t>Qualifier #81</t>
  </si>
  <si>
    <t>Qualifier #82</t>
  </si>
  <si>
    <t>Qualifier #83</t>
  </si>
  <si>
    <t>Qualifier #84</t>
  </si>
  <si>
    <t>Qualifier #85</t>
  </si>
  <si>
    <t>Qualifier #86</t>
  </si>
  <si>
    <t>Qualifier #87</t>
  </si>
  <si>
    <t>Qualifier #88</t>
  </si>
  <si>
    <t>Qualifier #89</t>
  </si>
  <si>
    <t>Qualifier #90</t>
  </si>
  <si>
    <t>Qualifier #91</t>
  </si>
  <si>
    <t>Qualifier #92</t>
  </si>
  <si>
    <t>Qualifier #93</t>
  </si>
  <si>
    <t>Qualifier #94</t>
  </si>
  <si>
    <t>Qualifier #95</t>
  </si>
  <si>
    <t>Qualifier #96</t>
  </si>
  <si>
    <t>Qualifier #97</t>
  </si>
  <si>
    <t>Qualifier #98</t>
  </si>
  <si>
    <t>Qualifier #99</t>
  </si>
  <si>
    <t>Qualifier #100</t>
  </si>
  <si>
    <t>Qualifier #101</t>
  </si>
  <si>
    <t>Qualifier #102</t>
  </si>
  <si>
    <t>Qualifier #103</t>
  </si>
  <si>
    <t>Qualifier #104</t>
  </si>
  <si>
    <t>Qualifier #105</t>
  </si>
  <si>
    <t>Qualifier #106</t>
  </si>
  <si>
    <t>Qualifier #107</t>
  </si>
  <si>
    <t>Qualifier #108</t>
  </si>
  <si>
    <t>Qualifier #109</t>
  </si>
  <si>
    <t>Qualifier #110</t>
  </si>
  <si>
    <t>Qualifier #111</t>
  </si>
  <si>
    <t>Qualifier #112</t>
  </si>
  <si>
    <t>Qualifier #113</t>
  </si>
  <si>
    <t>Qualifier #114</t>
  </si>
  <si>
    <t>Qualifier #115</t>
  </si>
  <si>
    <t>Qualifier #116</t>
  </si>
  <si>
    <t>Qualifier #117</t>
  </si>
  <si>
    <t>Qualifier #118</t>
  </si>
  <si>
    <t>Qualifier #119</t>
  </si>
  <si>
    <t>Qualifier #120</t>
  </si>
  <si>
    <t>Qualifier #121</t>
  </si>
  <si>
    <t>Qualifier #122</t>
  </si>
  <si>
    <t>Qualifier #123</t>
  </si>
  <si>
    <t>Qualifier #124</t>
  </si>
  <si>
    <t>Qualifier #125</t>
  </si>
  <si>
    <t>Qualifier #126</t>
  </si>
  <si>
    <t>Qualifier #127</t>
  </si>
  <si>
    <t>Qualifier #128</t>
  </si>
  <si>
    <t>Qualifier #129</t>
  </si>
  <si>
    <t>Qualifier #130</t>
  </si>
  <si>
    <t>Qualifier #131</t>
  </si>
  <si>
    <t>Qualifier #132</t>
  </si>
  <si>
    <t>Qualifier #133</t>
  </si>
  <si>
    <t>Qualifier #134</t>
  </si>
  <si>
    <t>Qualifier #135</t>
  </si>
  <si>
    <t>Qualifier #136</t>
  </si>
  <si>
    <t>Qualifier #137</t>
  </si>
  <si>
    <t>Qualifier #138</t>
  </si>
  <si>
    <t>Qualifier #139</t>
  </si>
  <si>
    <t>Qualifier #140</t>
  </si>
  <si>
    <t>Qualifier #141</t>
  </si>
  <si>
    <t>Qualifier #142</t>
  </si>
  <si>
    <t>Qualifier #143</t>
  </si>
  <si>
    <t>Qualifier #144</t>
  </si>
  <si>
    <t>Qualifier #145</t>
  </si>
  <si>
    <t>Qualifier #146</t>
  </si>
  <si>
    <t>Qualifier #147</t>
  </si>
  <si>
    <t>Qualifier #148</t>
  </si>
  <si>
    <t>Qualifier #149</t>
  </si>
  <si>
    <t>Qualifier #150</t>
  </si>
  <si>
    <t>Qualifier #151</t>
  </si>
  <si>
    <t>Qualifier #152</t>
  </si>
  <si>
    <t>Qualifier #153</t>
  </si>
  <si>
    <t>Qualifier #154</t>
  </si>
  <si>
    <t>Qualifier #155</t>
  </si>
  <si>
    <t>Qualifier #156</t>
  </si>
  <si>
    <t>Qualifier #157</t>
  </si>
  <si>
    <t>Qualifier #158</t>
  </si>
  <si>
    <t>Qualifier #159</t>
  </si>
  <si>
    <t>Qualifier #160</t>
  </si>
  <si>
    <t>Qualifier #161</t>
  </si>
  <si>
    <t>Qualifier #162</t>
  </si>
  <si>
    <t>Qualifier #163</t>
  </si>
  <si>
    <t>Qualifier #164</t>
  </si>
  <si>
    <t>Qualifier #165</t>
  </si>
  <si>
    <t>Qualifier #166</t>
  </si>
  <si>
    <t>Qualifier #167</t>
  </si>
  <si>
    <t>Qualifier #168</t>
  </si>
  <si>
    <t>Qualifier #169</t>
  </si>
  <si>
    <t>Qualifier #170</t>
  </si>
  <si>
    <t>Qualifier #171</t>
  </si>
  <si>
    <t>Qualifier #172</t>
  </si>
  <si>
    <t>Qualifier #173</t>
  </si>
  <si>
    <t>Qualifier #174</t>
  </si>
  <si>
    <t>Qualifier #175</t>
  </si>
  <si>
    <t>Qualifier #176</t>
  </si>
  <si>
    <t>Qualifier #177</t>
  </si>
  <si>
    <t>Qualifier #178</t>
  </si>
  <si>
    <t>Qualifier #179</t>
  </si>
  <si>
    <t>Qualifier #180</t>
  </si>
  <si>
    <t>Qualifier #181</t>
  </si>
  <si>
    <t>Qualifier #182</t>
  </si>
  <si>
    <t>Qualifier #183</t>
  </si>
  <si>
    <t>Qualifier #184</t>
  </si>
  <si>
    <t>Qualifier #185</t>
  </si>
  <si>
    <t>Qualifier #186</t>
  </si>
  <si>
    <t>Qualifier #187</t>
  </si>
  <si>
    <t>Qualifier #188</t>
  </si>
  <si>
    <t>Qualifier #189</t>
  </si>
  <si>
    <t>Qualifier #190</t>
  </si>
  <si>
    <t>Qualifier #191</t>
  </si>
  <si>
    <t>Qualifier #192</t>
  </si>
  <si>
    <t>Qualifier #193</t>
  </si>
  <si>
    <t>Qualifier #194</t>
  </si>
  <si>
    <t>Qualifier #195</t>
  </si>
  <si>
    <t>Qualifier #196</t>
  </si>
  <si>
    <t>Qualifier #197</t>
  </si>
  <si>
    <t>Qualifier #198</t>
  </si>
  <si>
    <t>Qualifier #199</t>
  </si>
  <si>
    <t>Qualifier #200</t>
  </si>
  <si>
    <t>Qualifier #201</t>
  </si>
  <si>
    <t>Qualifier #202</t>
  </si>
  <si>
    <t>Qualifier #203</t>
  </si>
  <si>
    <t>Qualifier #204</t>
  </si>
  <si>
    <t>Qualifier #205</t>
  </si>
  <si>
    <t>Qualifier #206</t>
  </si>
  <si>
    <t>Qualifier #207</t>
  </si>
  <si>
    <t>Qualifier #208</t>
  </si>
  <si>
    <t>Qualifier #6 -0.9751567366274829</t>
  </si>
  <si>
    <t>Qualifier #41 0.4448810357262004</t>
  </si>
  <si>
    <t>Qualifier #57 0.16331420190623885</t>
  </si>
  <si>
    <t>Qualifier #78 0.13237462432079597</t>
  </si>
  <si>
    <t>Qualifier #98 0.6549122252010591</t>
  </si>
  <si>
    <t>Qualifier #123 -0.5881484446181414</t>
  </si>
  <si>
    <t>Qualifier #165 0.36506947244682325</t>
  </si>
  <si>
    <t>Qualifier #176 -0.5854612561607773</t>
  </si>
  <si>
    <t>Qualifier #203 0.1087961666378961</t>
  </si>
  <si>
    <t>more positive -&gt; more likely we will win</t>
  </si>
  <si>
    <t>more negative -&gt; more likely we will lose</t>
  </si>
  <si>
    <t>#123 is against First Class</t>
  </si>
  <si>
    <t>#133 alliance with the Uganda team</t>
  </si>
  <si>
    <t>#176 is against Sunny</t>
  </si>
  <si>
    <t>Qualifier #144 -0.8849580333953654 (team 30214A no data, taken as 0)</t>
  </si>
  <si>
    <t>Act. W</t>
  </si>
  <si>
    <t>Act. Margin</t>
  </si>
  <si>
    <t>Correlation:</t>
  </si>
  <si>
    <t>Act. Score Margin (w.r.t. to 86254B)</t>
  </si>
  <si>
    <t>Predicted Strength Difference / 86254B team strength</t>
  </si>
  <si>
    <t xml:space="preserve"> Pred. Accuracy</t>
  </si>
  <si>
    <t>Prediction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</si>
</sst>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212529"/>
      <name val="Segoe UI"/>
      <family val="2"/>
    </font>
    <font>
      <sz val="1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sz val="8"/>
      <color rgb="FF212529"/>
      <name val="Segoe UI"/>
      <family val="2"/>
    </font>
    <font>
      <b/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D6FB"/>
        <bgColor indexed="64"/>
      </patternFill>
    </fill>
    <fill>
      <patternFill patternType="solid">
        <fgColor rgb="FFFBB6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777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E6E6E6"/>
      </left>
      <right/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1" applyNumberFormat="1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7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Actual Match</a:t>
            </a:r>
            <a:r>
              <a:rPr lang="en-HK" baseline="0"/>
              <a:t> Score Margin Against Predicted Match Strength Difference</a:t>
            </a:r>
            <a:endParaRPr lang="en-H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K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508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'All matches'!$N$2:$N$209</c:f>
              <c:numCache>
                <c:formatCode>General</c:formatCode>
                <c:ptCount val="208"/>
                <c:pt idx="0">
                  <c:v>-1.09293772070572</c:v>
                </c:pt>
                <c:pt idx="1">
                  <c:v>-0.22520022409589399</c:v>
                </c:pt>
                <c:pt idx="2">
                  <c:v>1.1962546363214199</c:v>
                </c:pt>
                <c:pt idx="3">
                  <c:v>0.35624317708490399</c:v>
                </c:pt>
                <c:pt idx="4">
                  <c:v>7.9016696656347404E-2</c:v>
                </c:pt>
                <c:pt idx="5">
                  <c:v>-1.1139548120104501</c:v>
                </c:pt>
                <c:pt idx="6">
                  <c:v>-0.453320319678232</c:v>
                </c:pt>
                <c:pt idx="7">
                  <c:v>-0.15716469024788601</c:v>
                </c:pt>
                <c:pt idx="8">
                  <c:v>-0.471266870554441</c:v>
                </c:pt>
                <c:pt idx="9">
                  <c:v>-0.56939933868204295</c:v>
                </c:pt>
                <c:pt idx="10">
                  <c:v>1.2533755455823401</c:v>
                </c:pt>
                <c:pt idx="11">
                  <c:v>-1.24311304041325</c:v>
                </c:pt>
                <c:pt idx="12">
                  <c:v>-1.34415899992017</c:v>
                </c:pt>
                <c:pt idx="13">
                  <c:v>-0.352933459997336</c:v>
                </c:pt>
                <c:pt idx="14">
                  <c:v>0.61527701084441699</c:v>
                </c:pt>
                <c:pt idx="15">
                  <c:v>0.84009898911337699</c:v>
                </c:pt>
                <c:pt idx="16">
                  <c:v>-0.96829369936745502</c:v>
                </c:pt>
                <c:pt idx="17">
                  <c:v>0.59497724464642299</c:v>
                </c:pt>
                <c:pt idx="18">
                  <c:v>0.737192797611951</c:v>
                </c:pt>
                <c:pt idx="19">
                  <c:v>0.14518370376263001</c:v>
                </c:pt>
                <c:pt idx="20">
                  <c:v>-1.09424701851135</c:v>
                </c:pt>
                <c:pt idx="21">
                  <c:v>1.5191753067642599</c:v>
                </c:pt>
                <c:pt idx="22">
                  <c:v>-0.63516130311809105</c:v>
                </c:pt>
                <c:pt idx="23">
                  <c:v>-1.0719302183847501</c:v>
                </c:pt>
                <c:pt idx="24">
                  <c:v>2.2836206999445299</c:v>
                </c:pt>
                <c:pt idx="25">
                  <c:v>0.86323271778173105</c:v>
                </c:pt>
                <c:pt idx="26">
                  <c:v>-0.109797497653892</c:v>
                </c:pt>
                <c:pt idx="27">
                  <c:v>0.37294160150021399</c:v>
                </c:pt>
                <c:pt idx="28">
                  <c:v>-0.84164687864768595</c:v>
                </c:pt>
                <c:pt idx="29">
                  <c:v>-0.30765482843052699</c:v>
                </c:pt>
                <c:pt idx="30">
                  <c:v>-0.42316931383530898</c:v>
                </c:pt>
                <c:pt idx="31">
                  <c:v>-0.94397490926973804</c:v>
                </c:pt>
                <c:pt idx="32">
                  <c:v>0.599682577459552</c:v>
                </c:pt>
                <c:pt idx="33">
                  <c:v>-0.169171712585409</c:v>
                </c:pt>
                <c:pt idx="34">
                  <c:v>1.45320752385134</c:v>
                </c:pt>
                <c:pt idx="35">
                  <c:v>0.379207773891022</c:v>
                </c:pt>
                <c:pt idx="36">
                  <c:v>-5.2936208251503896E-3</c:v>
                </c:pt>
                <c:pt idx="37">
                  <c:v>0.24382712951699601</c:v>
                </c:pt>
                <c:pt idx="38">
                  <c:v>-0.245914536124378</c:v>
                </c:pt>
                <c:pt idx="39">
                  <c:v>1.2372786747242399</c:v>
                </c:pt>
                <c:pt idx="40">
                  <c:v>-0.77491367294568403</c:v>
                </c:pt>
                <c:pt idx="41">
                  <c:v>1.2294961581685899</c:v>
                </c:pt>
                <c:pt idx="42">
                  <c:v>0.14135133308478001</c:v>
                </c:pt>
                <c:pt idx="43">
                  <c:v>0.42348662035193302</c:v>
                </c:pt>
                <c:pt idx="44">
                  <c:v>-0.64677732196509496</c:v>
                </c:pt>
                <c:pt idx="45">
                  <c:v>-0.343785615237025</c:v>
                </c:pt>
                <c:pt idx="46">
                  <c:v>-0.33808718744018401</c:v>
                </c:pt>
                <c:pt idx="47">
                  <c:v>-0.57676170456476505</c:v>
                </c:pt>
                <c:pt idx="48">
                  <c:v>0.77578717139750697</c:v>
                </c:pt>
                <c:pt idx="49">
                  <c:v>-0.71969710255158303</c:v>
                </c:pt>
                <c:pt idx="50">
                  <c:v>0.82786742974083904</c:v>
                </c:pt>
                <c:pt idx="51">
                  <c:v>-0.35163427535067299</c:v>
                </c:pt>
                <c:pt idx="52">
                  <c:v>-7.2500206760513802E-2</c:v>
                </c:pt>
                <c:pt idx="53">
                  <c:v>-0.75220250306235203</c:v>
                </c:pt>
                <c:pt idx="54">
                  <c:v>-9.0810518377892804E-3</c:v>
                </c:pt>
                <c:pt idx="55">
                  <c:v>0.65887133330732195</c:v>
                </c:pt>
                <c:pt idx="56">
                  <c:v>0.25151226308354402</c:v>
                </c:pt>
                <c:pt idx="57">
                  <c:v>2.0269420660111499</c:v>
                </c:pt>
                <c:pt idx="58">
                  <c:v>0.20354674383573301</c:v>
                </c:pt>
                <c:pt idx="59">
                  <c:v>1.4495940640008901E-2</c:v>
                </c:pt>
                <c:pt idx="60">
                  <c:v>1.36485778011959</c:v>
                </c:pt>
                <c:pt idx="61">
                  <c:v>-0.36861956115786298</c:v>
                </c:pt>
                <c:pt idx="62">
                  <c:v>-1.0264411947154</c:v>
                </c:pt>
                <c:pt idx="63">
                  <c:v>-6.7800662774126996E-2</c:v>
                </c:pt>
                <c:pt idx="64">
                  <c:v>-0.30802847241377601</c:v>
                </c:pt>
                <c:pt idx="65">
                  <c:v>-0.79946661849851697</c:v>
                </c:pt>
                <c:pt idx="66">
                  <c:v>-1.1019893255102899</c:v>
                </c:pt>
                <c:pt idx="67">
                  <c:v>-0.121528979249486</c:v>
                </c:pt>
                <c:pt idx="68">
                  <c:v>-0.44777763657905101</c:v>
                </c:pt>
                <c:pt idx="69">
                  <c:v>-0.39811014538818101</c:v>
                </c:pt>
                <c:pt idx="70">
                  <c:v>-1.0756208542199099</c:v>
                </c:pt>
                <c:pt idx="71">
                  <c:v>0.46095131100193898</c:v>
                </c:pt>
                <c:pt idx="72">
                  <c:v>-1.64861411815617</c:v>
                </c:pt>
                <c:pt idx="73">
                  <c:v>0.16242046971298599</c:v>
                </c:pt>
                <c:pt idx="74">
                  <c:v>0.13521463701820699</c:v>
                </c:pt>
                <c:pt idx="75">
                  <c:v>2.1973399894320501E-2</c:v>
                </c:pt>
                <c:pt idx="76">
                  <c:v>0.61388140557452497</c:v>
                </c:pt>
                <c:pt idx="77">
                  <c:v>-0.262197240444493</c:v>
                </c:pt>
                <c:pt idx="78">
                  <c:v>-0.154361556324006</c:v>
                </c:pt>
                <c:pt idx="79">
                  <c:v>0.86250149358256201</c:v>
                </c:pt>
                <c:pt idx="80" formatCode="0.00000000">
                  <c:v>-0.16636352587405301</c:v>
                </c:pt>
                <c:pt idx="81" formatCode="0.00000000">
                  <c:v>1.36514188884773</c:v>
                </c:pt>
                <c:pt idx="82" formatCode="0.00000000">
                  <c:v>-0.41802127943714401</c:v>
                </c:pt>
                <c:pt idx="83" formatCode="0.00000000">
                  <c:v>0.50529460680402805</c:v>
                </c:pt>
                <c:pt idx="84" formatCode="0.00000000">
                  <c:v>-0.104604058294095</c:v>
                </c:pt>
                <c:pt idx="85" formatCode="0.00000000">
                  <c:v>0.43787757119763798</c:v>
                </c:pt>
                <c:pt idx="86" formatCode="0.00000000">
                  <c:v>-0.22826770082137901</c:v>
                </c:pt>
                <c:pt idx="87" formatCode="0.00000000">
                  <c:v>-0.427246808114008</c:v>
                </c:pt>
                <c:pt idx="88" formatCode="0.00000000">
                  <c:v>0.11407244634776</c:v>
                </c:pt>
                <c:pt idx="89" formatCode="0.00000000">
                  <c:v>0.99827672106492404</c:v>
                </c:pt>
                <c:pt idx="90" formatCode="0.00000000">
                  <c:v>0.61277950491074495</c:v>
                </c:pt>
                <c:pt idx="91" formatCode="0.00000000">
                  <c:v>0.52995291339334105</c:v>
                </c:pt>
                <c:pt idx="92" formatCode="0.00000000">
                  <c:v>0.480830882928728</c:v>
                </c:pt>
                <c:pt idx="93" formatCode="0.00000000">
                  <c:v>0.69451870365881796</c:v>
                </c:pt>
                <c:pt idx="94" formatCode="0.00000000">
                  <c:v>0.28481650586753698</c:v>
                </c:pt>
                <c:pt idx="95" formatCode="0.00000000">
                  <c:v>7.6087791593819603E-3</c:v>
                </c:pt>
                <c:pt idx="96" formatCode="0.00000000">
                  <c:v>-0.38364016131740097</c:v>
                </c:pt>
                <c:pt idx="97" formatCode="0.00000000">
                  <c:v>-1.4505476472532299</c:v>
                </c:pt>
                <c:pt idx="98" formatCode="0.00000000">
                  <c:v>-1.70840485573362</c:v>
                </c:pt>
                <c:pt idx="99" formatCode="0.00000000">
                  <c:v>0.34640699281560799</c:v>
                </c:pt>
                <c:pt idx="100" formatCode="0.00000000">
                  <c:v>-0.107303730166197</c:v>
                </c:pt>
                <c:pt idx="101" formatCode="0.00000000">
                  <c:v>0.801027468082806</c:v>
                </c:pt>
                <c:pt idx="102" formatCode="0.00000000">
                  <c:v>0.63058027738298805</c:v>
                </c:pt>
                <c:pt idx="103" formatCode="0.00000000">
                  <c:v>0.116292435446621</c:v>
                </c:pt>
                <c:pt idx="104" formatCode="0.00000000">
                  <c:v>-0.91931731767814395</c:v>
                </c:pt>
                <c:pt idx="105" formatCode="0.00000000">
                  <c:v>-1.27603611208127</c:v>
                </c:pt>
                <c:pt idx="106" formatCode="0.00000000">
                  <c:v>0.16725308818711501</c:v>
                </c:pt>
                <c:pt idx="107" formatCode="0.00000000">
                  <c:v>0.374144423617008</c:v>
                </c:pt>
                <c:pt idx="108" formatCode="0.00000000">
                  <c:v>-0.35708129930987997</c:v>
                </c:pt>
                <c:pt idx="109" formatCode="0.00000000">
                  <c:v>-0.237349780482318</c:v>
                </c:pt>
                <c:pt idx="110" formatCode="0.00000000">
                  <c:v>1.0335419786576501</c:v>
                </c:pt>
                <c:pt idx="111" formatCode="0.00000000">
                  <c:v>-0.51481405445806405</c:v>
                </c:pt>
                <c:pt idx="112" formatCode="0.00000000">
                  <c:v>1.02163057387972</c:v>
                </c:pt>
                <c:pt idx="113" formatCode="0.00000000">
                  <c:v>1.4102932461211</c:v>
                </c:pt>
                <c:pt idx="114" formatCode="0.00000000">
                  <c:v>0.761553217314342</c:v>
                </c:pt>
                <c:pt idx="115" formatCode="0.00000000">
                  <c:v>1.02868661957665</c:v>
                </c:pt>
                <c:pt idx="116" formatCode="0.00000000">
                  <c:v>0.15829934200672499</c:v>
                </c:pt>
                <c:pt idx="117" formatCode="0.00000000">
                  <c:v>-0.27965160306387599</c:v>
                </c:pt>
                <c:pt idx="118" formatCode="0.00000000">
                  <c:v>-0.205836684196787</c:v>
                </c:pt>
                <c:pt idx="119" formatCode="0.00000000">
                  <c:v>0.38498071579045301</c:v>
                </c:pt>
                <c:pt idx="120" formatCode="0.00000000">
                  <c:v>-0.75752818658921195</c:v>
                </c:pt>
                <c:pt idx="121" formatCode="0.00000000">
                  <c:v>-0.72793694334424797</c:v>
                </c:pt>
                <c:pt idx="122" formatCode="0.00000000">
                  <c:v>-0.97231628804254899</c:v>
                </c:pt>
                <c:pt idx="123" formatCode="0.00000000">
                  <c:v>-1.2307719173477101</c:v>
                </c:pt>
                <c:pt idx="124" formatCode="0.00000000">
                  <c:v>-0.31648762454166202</c:v>
                </c:pt>
                <c:pt idx="125" formatCode="0.00000000">
                  <c:v>-1.4708125536472301</c:v>
                </c:pt>
                <c:pt idx="126" formatCode="0.00000000">
                  <c:v>4.24853642140645E-2</c:v>
                </c:pt>
                <c:pt idx="127" formatCode="0.00000000">
                  <c:v>-4.8347988136603296E-3</c:v>
                </c:pt>
                <c:pt idx="128" formatCode="0.00000000">
                  <c:v>0.16052708980441899</c:v>
                </c:pt>
                <c:pt idx="129" formatCode="0.00000000">
                  <c:v>0.38952887086184201</c:v>
                </c:pt>
                <c:pt idx="130" formatCode="0.00000000">
                  <c:v>-0.19958413594433499</c:v>
                </c:pt>
                <c:pt idx="131" formatCode="0.00000000">
                  <c:v>-1.11897941352973</c:v>
                </c:pt>
                <c:pt idx="132" formatCode="0.00000000">
                  <c:v>-1.2892522718967101</c:v>
                </c:pt>
                <c:pt idx="133" formatCode="0.00000000">
                  <c:v>-0.39772319467294498</c:v>
                </c:pt>
                <c:pt idx="134" formatCode="0.00000000">
                  <c:v>0.779414232930977</c:v>
                </c:pt>
                <c:pt idx="135" formatCode="0.00000000">
                  <c:v>0.51977446801267202</c:v>
                </c:pt>
                <c:pt idx="136" formatCode="0.00000000">
                  <c:v>0.209028357989581</c:v>
                </c:pt>
                <c:pt idx="137" formatCode="0.00000000">
                  <c:v>0.25237071221970903</c:v>
                </c:pt>
                <c:pt idx="138" formatCode="0.00000000">
                  <c:v>-1.5263223540817601</c:v>
                </c:pt>
                <c:pt idx="139" formatCode="0.00000000">
                  <c:v>7.3731636816340096E-2</c:v>
                </c:pt>
                <c:pt idx="140" formatCode="0.00000000">
                  <c:v>1.16443809697181</c:v>
                </c:pt>
                <c:pt idx="141" formatCode="0.00000000">
                  <c:v>-1.4003571355029001</c:v>
                </c:pt>
                <c:pt idx="142" formatCode="0.00000000">
                  <c:v>-0.68598745575008802</c:v>
                </c:pt>
                <c:pt idx="143" formatCode="0.00000000">
                  <c:v>-0.88495803339536505</c:v>
                </c:pt>
                <c:pt idx="144" formatCode="0.00000000">
                  <c:v>1.11393734254537</c:v>
                </c:pt>
                <c:pt idx="145" formatCode="0.00000000">
                  <c:v>-0.13676808468104701</c:v>
                </c:pt>
                <c:pt idx="146" formatCode="0.00000000">
                  <c:v>0.15258564972744301</c:v>
                </c:pt>
                <c:pt idx="147" formatCode="0.00000000">
                  <c:v>0.57539773900242597</c:v>
                </c:pt>
                <c:pt idx="148" formatCode="0.00000000">
                  <c:v>0.40161651010795302</c:v>
                </c:pt>
                <c:pt idx="149" formatCode="0.00000000">
                  <c:v>1.1669080124483</c:v>
                </c:pt>
                <c:pt idx="150" formatCode="0.00000000">
                  <c:v>-2.1511233185275098E-2</c:v>
                </c:pt>
                <c:pt idx="151" formatCode="0.00000000">
                  <c:v>1.56583463162561</c:v>
                </c:pt>
                <c:pt idx="152" formatCode="0.00000000">
                  <c:v>-0.226816299537797</c:v>
                </c:pt>
                <c:pt idx="153" formatCode="0.00000000">
                  <c:v>0.181607258772673</c:v>
                </c:pt>
                <c:pt idx="154" formatCode="0.00000000">
                  <c:v>-0.28911108049627898</c:v>
                </c:pt>
                <c:pt idx="155" formatCode="0.00000000">
                  <c:v>-0.13377051289619299</c:v>
                </c:pt>
                <c:pt idx="156" formatCode="0.00000000">
                  <c:v>-0.96016878004580297</c:v>
                </c:pt>
                <c:pt idx="157" formatCode="0.00000000">
                  <c:v>1.0304968937618999</c:v>
                </c:pt>
                <c:pt idx="158" formatCode="0.00000000">
                  <c:v>-6.4952092138739398E-2</c:v>
                </c:pt>
                <c:pt idx="159" formatCode="0.00000000">
                  <c:v>-0.53915005677812</c:v>
                </c:pt>
                <c:pt idx="160" formatCode="0.00000000">
                  <c:v>-0.98468929869213695</c:v>
                </c:pt>
                <c:pt idx="161" formatCode="0.00000000">
                  <c:v>-0.72360314920373503</c:v>
                </c:pt>
                <c:pt idx="162" formatCode="0.00000000">
                  <c:v>-1.23790977946758</c:v>
                </c:pt>
                <c:pt idx="163" formatCode="0.00000000">
                  <c:v>-0.37963701141696299</c:v>
                </c:pt>
                <c:pt idx="164" formatCode="0.00000000">
                  <c:v>-0.85284435092296595</c:v>
                </c:pt>
                <c:pt idx="165" formatCode="0.00000000">
                  <c:v>0.95128765636847201</c:v>
                </c:pt>
                <c:pt idx="166" formatCode="0.00000000">
                  <c:v>0.70540743792584604</c:v>
                </c:pt>
                <c:pt idx="167" formatCode="0.00000000">
                  <c:v>0.85543955921997605</c:v>
                </c:pt>
                <c:pt idx="168" formatCode="0.00000000">
                  <c:v>0.46713075258869402</c:v>
                </c:pt>
                <c:pt idx="169" formatCode="0.00000000">
                  <c:v>0.25537980603184002</c:v>
                </c:pt>
                <c:pt idx="170" formatCode="0.00000000">
                  <c:v>-3.65816093321484E-2</c:v>
                </c:pt>
                <c:pt idx="171" formatCode="0.00000000">
                  <c:v>-0.65088942895845703</c:v>
                </c:pt>
                <c:pt idx="172" formatCode="0.00000000">
                  <c:v>-0.85719274168927795</c:v>
                </c:pt>
                <c:pt idx="173" formatCode="0.00000000">
                  <c:v>0.34681771402022998</c:v>
                </c:pt>
                <c:pt idx="174" formatCode="0.00000000">
                  <c:v>0.317057037099716</c:v>
                </c:pt>
                <c:pt idx="175" formatCode="0.00000000">
                  <c:v>-0.82579858037981002</c:v>
                </c:pt>
                <c:pt idx="176" formatCode="0.00000000">
                  <c:v>-0.54471051208167398</c:v>
                </c:pt>
                <c:pt idx="177" formatCode="0.00000000">
                  <c:v>0.79595440048566002</c:v>
                </c:pt>
                <c:pt idx="178" formatCode="0.00000000">
                  <c:v>-0.18252578503188999</c:v>
                </c:pt>
                <c:pt idx="179" formatCode="0.00000000">
                  <c:v>0.20218324506552299</c:v>
                </c:pt>
                <c:pt idx="180" formatCode="0.00000000">
                  <c:v>-0.111715223368876</c:v>
                </c:pt>
                <c:pt idx="181" formatCode="0.00000000">
                  <c:v>2.31520321182738</c:v>
                </c:pt>
                <c:pt idx="182" formatCode="0.00000000">
                  <c:v>0.123602033064188</c:v>
                </c:pt>
                <c:pt idx="183" formatCode="0.00000000">
                  <c:v>0.74953012269316099</c:v>
                </c:pt>
                <c:pt idx="184" formatCode="0.00000000">
                  <c:v>-0.37455889893785699</c:v>
                </c:pt>
                <c:pt idx="185" formatCode="0.00000000">
                  <c:v>-1.04829492641626</c:v>
                </c:pt>
                <c:pt idx="186" formatCode="0.00000000">
                  <c:v>1.00333438679854</c:v>
                </c:pt>
                <c:pt idx="187" formatCode="0.00000000">
                  <c:v>-0.39824538511887297</c:v>
                </c:pt>
                <c:pt idx="188" formatCode="0.00000000">
                  <c:v>1.1834497983793999</c:v>
                </c:pt>
                <c:pt idx="189" formatCode="0.00000000">
                  <c:v>0.89532208646408096</c:v>
                </c:pt>
                <c:pt idx="190" formatCode="0.00000000">
                  <c:v>-0.72783595269253898</c:v>
                </c:pt>
                <c:pt idx="191" formatCode="0.00000000">
                  <c:v>-1.36015755345231</c:v>
                </c:pt>
                <c:pt idx="192" formatCode="0.00000000">
                  <c:v>-0.16696581690923301</c:v>
                </c:pt>
                <c:pt idx="193" formatCode="0.00000000">
                  <c:v>1.0297263246127999</c:v>
                </c:pt>
                <c:pt idx="194" formatCode="0.00000000">
                  <c:v>-0.44088906241326598</c:v>
                </c:pt>
                <c:pt idx="195" formatCode="0.00000000">
                  <c:v>0.94027121797143998</c:v>
                </c:pt>
                <c:pt idx="196" formatCode="0.00000000">
                  <c:v>0.58601700650621702</c:v>
                </c:pt>
                <c:pt idx="197" formatCode="0.00000000">
                  <c:v>-1.88180479369771</c:v>
                </c:pt>
                <c:pt idx="198" formatCode="0.00000000">
                  <c:v>0.49199498739429698</c:v>
                </c:pt>
                <c:pt idx="199" formatCode="0.00000000">
                  <c:v>-0.66356936453884197</c:v>
                </c:pt>
                <c:pt idx="200" formatCode="0.00000000">
                  <c:v>-0.156366625714708</c:v>
                </c:pt>
                <c:pt idx="201" formatCode="0.00000000">
                  <c:v>3.8173615610523202E-2</c:v>
                </c:pt>
                <c:pt idx="202" formatCode="0.00000000">
                  <c:v>-0.20335679433668999</c:v>
                </c:pt>
                <c:pt idx="203" formatCode="0.00000000">
                  <c:v>0.23392896960451101</c:v>
                </c:pt>
                <c:pt idx="204" formatCode="0.00000000">
                  <c:v>-0.74797170587747996</c:v>
                </c:pt>
                <c:pt idx="205" formatCode="0.00000000">
                  <c:v>-0.58186537461688304</c:v>
                </c:pt>
                <c:pt idx="206" formatCode="0.00000000">
                  <c:v>0.94713596968948</c:v>
                </c:pt>
                <c:pt idx="207" formatCode="0.00000000">
                  <c:v>-0.19000722206659301</c:v>
                </c:pt>
              </c:numCache>
            </c:numRef>
          </c:xVal>
          <c:yVal>
            <c:numRef>
              <c:f>'All matches'!$L$2:$L$209</c:f>
              <c:numCache>
                <c:formatCode>General</c:formatCode>
                <c:ptCount val="208"/>
                <c:pt idx="0">
                  <c:v>-24</c:v>
                </c:pt>
                <c:pt idx="1">
                  <c:v>-6</c:v>
                </c:pt>
                <c:pt idx="2">
                  <c:v>40</c:v>
                </c:pt>
                <c:pt idx="3">
                  <c:v>2</c:v>
                </c:pt>
                <c:pt idx="4">
                  <c:v>18</c:v>
                </c:pt>
                <c:pt idx="5">
                  <c:v>-9</c:v>
                </c:pt>
                <c:pt idx="6">
                  <c:v>-37</c:v>
                </c:pt>
                <c:pt idx="7">
                  <c:v>-37</c:v>
                </c:pt>
                <c:pt idx="8">
                  <c:v>-3</c:v>
                </c:pt>
                <c:pt idx="9">
                  <c:v>3</c:v>
                </c:pt>
                <c:pt idx="10">
                  <c:v>22</c:v>
                </c:pt>
                <c:pt idx="11">
                  <c:v>-47</c:v>
                </c:pt>
                <c:pt idx="12">
                  <c:v>-10</c:v>
                </c:pt>
                <c:pt idx="13">
                  <c:v>-38</c:v>
                </c:pt>
                <c:pt idx="14">
                  <c:v>8</c:v>
                </c:pt>
                <c:pt idx="15">
                  <c:v>-7</c:v>
                </c:pt>
                <c:pt idx="16">
                  <c:v>-9</c:v>
                </c:pt>
                <c:pt idx="17">
                  <c:v>-15</c:v>
                </c:pt>
                <c:pt idx="18">
                  <c:v>6</c:v>
                </c:pt>
                <c:pt idx="19">
                  <c:v>30</c:v>
                </c:pt>
                <c:pt idx="20">
                  <c:v>-20</c:v>
                </c:pt>
                <c:pt idx="21">
                  <c:v>42</c:v>
                </c:pt>
                <c:pt idx="22">
                  <c:v>-1</c:v>
                </c:pt>
                <c:pt idx="23">
                  <c:v>-18</c:v>
                </c:pt>
                <c:pt idx="24">
                  <c:v>25</c:v>
                </c:pt>
                <c:pt idx="25">
                  <c:v>32</c:v>
                </c:pt>
                <c:pt idx="26">
                  <c:v>-10</c:v>
                </c:pt>
                <c:pt idx="27">
                  <c:v>-9</c:v>
                </c:pt>
                <c:pt idx="28">
                  <c:v>-10</c:v>
                </c:pt>
                <c:pt idx="29">
                  <c:v>-23</c:v>
                </c:pt>
                <c:pt idx="30">
                  <c:v>-18</c:v>
                </c:pt>
                <c:pt idx="31">
                  <c:v>2</c:v>
                </c:pt>
                <c:pt idx="32">
                  <c:v>-8</c:v>
                </c:pt>
                <c:pt idx="33">
                  <c:v>-5</c:v>
                </c:pt>
                <c:pt idx="34">
                  <c:v>19</c:v>
                </c:pt>
                <c:pt idx="35">
                  <c:v>38</c:v>
                </c:pt>
                <c:pt idx="36">
                  <c:v>13</c:v>
                </c:pt>
                <c:pt idx="37">
                  <c:v>-12</c:v>
                </c:pt>
                <c:pt idx="38">
                  <c:v>10</c:v>
                </c:pt>
                <c:pt idx="39">
                  <c:v>26</c:v>
                </c:pt>
                <c:pt idx="40">
                  <c:v>-17</c:v>
                </c:pt>
                <c:pt idx="41">
                  <c:v>24</c:v>
                </c:pt>
                <c:pt idx="42">
                  <c:v>3</c:v>
                </c:pt>
                <c:pt idx="43">
                  <c:v>21</c:v>
                </c:pt>
                <c:pt idx="44">
                  <c:v>-2</c:v>
                </c:pt>
                <c:pt idx="45">
                  <c:v>2</c:v>
                </c:pt>
                <c:pt idx="46">
                  <c:v>11</c:v>
                </c:pt>
                <c:pt idx="47">
                  <c:v>-5</c:v>
                </c:pt>
                <c:pt idx="48">
                  <c:v>15</c:v>
                </c:pt>
                <c:pt idx="49">
                  <c:v>-11</c:v>
                </c:pt>
                <c:pt idx="50">
                  <c:v>-13</c:v>
                </c:pt>
                <c:pt idx="51">
                  <c:v>8</c:v>
                </c:pt>
                <c:pt idx="52">
                  <c:v>12</c:v>
                </c:pt>
                <c:pt idx="53">
                  <c:v>-3</c:v>
                </c:pt>
                <c:pt idx="54">
                  <c:v>1</c:v>
                </c:pt>
                <c:pt idx="55">
                  <c:v>14</c:v>
                </c:pt>
                <c:pt idx="56">
                  <c:v>17</c:v>
                </c:pt>
                <c:pt idx="57">
                  <c:v>41</c:v>
                </c:pt>
                <c:pt idx="58">
                  <c:v>23</c:v>
                </c:pt>
                <c:pt idx="59">
                  <c:v>16</c:v>
                </c:pt>
                <c:pt idx="60">
                  <c:v>42</c:v>
                </c:pt>
                <c:pt idx="61">
                  <c:v>-14</c:v>
                </c:pt>
                <c:pt idx="62">
                  <c:v>-17</c:v>
                </c:pt>
                <c:pt idx="63">
                  <c:v>-18</c:v>
                </c:pt>
                <c:pt idx="64">
                  <c:v>-8</c:v>
                </c:pt>
                <c:pt idx="65">
                  <c:v>-14</c:v>
                </c:pt>
                <c:pt idx="66">
                  <c:v>-22</c:v>
                </c:pt>
                <c:pt idx="67">
                  <c:v>-3</c:v>
                </c:pt>
                <c:pt idx="68">
                  <c:v>22</c:v>
                </c:pt>
                <c:pt idx="69">
                  <c:v>4</c:v>
                </c:pt>
                <c:pt idx="70">
                  <c:v>-22</c:v>
                </c:pt>
                <c:pt idx="71">
                  <c:v>9</c:v>
                </c:pt>
                <c:pt idx="72">
                  <c:v>-22</c:v>
                </c:pt>
                <c:pt idx="73">
                  <c:v>18</c:v>
                </c:pt>
                <c:pt idx="74">
                  <c:v>3</c:v>
                </c:pt>
                <c:pt idx="75">
                  <c:v>-24</c:v>
                </c:pt>
                <c:pt idx="76">
                  <c:v>13</c:v>
                </c:pt>
                <c:pt idx="77">
                  <c:v>-10</c:v>
                </c:pt>
                <c:pt idx="78">
                  <c:v>5</c:v>
                </c:pt>
                <c:pt idx="79">
                  <c:v>18</c:v>
                </c:pt>
                <c:pt idx="80">
                  <c:v>-29</c:v>
                </c:pt>
                <c:pt idx="81">
                  <c:v>14</c:v>
                </c:pt>
                <c:pt idx="82">
                  <c:v>-18</c:v>
                </c:pt>
                <c:pt idx="83">
                  <c:v>8</c:v>
                </c:pt>
                <c:pt idx="84">
                  <c:v>11</c:v>
                </c:pt>
                <c:pt idx="85">
                  <c:v>19</c:v>
                </c:pt>
                <c:pt idx="86">
                  <c:v>-5</c:v>
                </c:pt>
                <c:pt idx="87">
                  <c:v>-26</c:v>
                </c:pt>
                <c:pt idx="88">
                  <c:v>-18</c:v>
                </c:pt>
                <c:pt idx="89">
                  <c:v>20</c:v>
                </c:pt>
                <c:pt idx="90">
                  <c:v>-16</c:v>
                </c:pt>
                <c:pt idx="91">
                  <c:v>24</c:v>
                </c:pt>
                <c:pt idx="92">
                  <c:v>6</c:v>
                </c:pt>
                <c:pt idx="93">
                  <c:v>17</c:v>
                </c:pt>
                <c:pt idx="94">
                  <c:v>-1</c:v>
                </c:pt>
                <c:pt idx="95">
                  <c:v>11</c:v>
                </c:pt>
                <c:pt idx="96">
                  <c:v>7</c:v>
                </c:pt>
                <c:pt idx="97">
                  <c:v>-34</c:v>
                </c:pt>
                <c:pt idx="98">
                  <c:v>-30</c:v>
                </c:pt>
                <c:pt idx="99">
                  <c:v>-20</c:v>
                </c:pt>
                <c:pt idx="100">
                  <c:v>-10</c:v>
                </c:pt>
                <c:pt idx="101">
                  <c:v>31</c:v>
                </c:pt>
                <c:pt idx="102">
                  <c:v>4</c:v>
                </c:pt>
                <c:pt idx="103">
                  <c:v>-5</c:v>
                </c:pt>
                <c:pt idx="104">
                  <c:v>-11</c:v>
                </c:pt>
                <c:pt idx="105">
                  <c:v>-14</c:v>
                </c:pt>
                <c:pt idx="106">
                  <c:v>20</c:v>
                </c:pt>
                <c:pt idx="107">
                  <c:v>-5</c:v>
                </c:pt>
                <c:pt idx="108">
                  <c:v>-9</c:v>
                </c:pt>
                <c:pt idx="109">
                  <c:v>-13</c:v>
                </c:pt>
                <c:pt idx="110">
                  <c:v>1</c:v>
                </c:pt>
                <c:pt idx="111">
                  <c:v>15</c:v>
                </c:pt>
                <c:pt idx="112">
                  <c:v>4</c:v>
                </c:pt>
                <c:pt idx="113">
                  <c:v>6</c:v>
                </c:pt>
                <c:pt idx="114">
                  <c:v>34</c:v>
                </c:pt>
                <c:pt idx="115">
                  <c:v>-13</c:v>
                </c:pt>
                <c:pt idx="116">
                  <c:v>16</c:v>
                </c:pt>
                <c:pt idx="117">
                  <c:v>14</c:v>
                </c:pt>
                <c:pt idx="118">
                  <c:v>9</c:v>
                </c:pt>
                <c:pt idx="119">
                  <c:v>7</c:v>
                </c:pt>
                <c:pt idx="120">
                  <c:v>3</c:v>
                </c:pt>
                <c:pt idx="121">
                  <c:v>25</c:v>
                </c:pt>
                <c:pt idx="122">
                  <c:v>-29</c:v>
                </c:pt>
                <c:pt idx="123">
                  <c:v>-25</c:v>
                </c:pt>
                <c:pt idx="124">
                  <c:v>-5</c:v>
                </c:pt>
                <c:pt idx="125">
                  <c:v>-41</c:v>
                </c:pt>
                <c:pt idx="126">
                  <c:v>-21</c:v>
                </c:pt>
                <c:pt idx="127">
                  <c:v>-6</c:v>
                </c:pt>
                <c:pt idx="128">
                  <c:v>-13</c:v>
                </c:pt>
                <c:pt idx="129">
                  <c:v>-21</c:v>
                </c:pt>
                <c:pt idx="130">
                  <c:v>-5</c:v>
                </c:pt>
                <c:pt idx="131">
                  <c:v>-26</c:v>
                </c:pt>
                <c:pt idx="132">
                  <c:v>-18</c:v>
                </c:pt>
                <c:pt idx="133">
                  <c:v>-27</c:v>
                </c:pt>
                <c:pt idx="134">
                  <c:v>9</c:v>
                </c:pt>
                <c:pt idx="135">
                  <c:v>-12</c:v>
                </c:pt>
                <c:pt idx="136">
                  <c:v>0</c:v>
                </c:pt>
                <c:pt idx="137">
                  <c:v>0</c:v>
                </c:pt>
                <c:pt idx="138">
                  <c:v>-23</c:v>
                </c:pt>
                <c:pt idx="139">
                  <c:v>6</c:v>
                </c:pt>
                <c:pt idx="140">
                  <c:v>-5</c:v>
                </c:pt>
                <c:pt idx="141">
                  <c:v>6</c:v>
                </c:pt>
                <c:pt idx="142">
                  <c:v>-5</c:v>
                </c:pt>
                <c:pt idx="143">
                  <c:v>-30</c:v>
                </c:pt>
                <c:pt idx="144">
                  <c:v>-11</c:v>
                </c:pt>
                <c:pt idx="145">
                  <c:v>-31</c:v>
                </c:pt>
                <c:pt idx="146">
                  <c:v>-10</c:v>
                </c:pt>
                <c:pt idx="147">
                  <c:v>-3</c:v>
                </c:pt>
                <c:pt idx="148">
                  <c:v>6</c:v>
                </c:pt>
                <c:pt idx="149">
                  <c:v>40</c:v>
                </c:pt>
                <c:pt idx="150">
                  <c:v>6</c:v>
                </c:pt>
                <c:pt idx="151">
                  <c:v>4</c:v>
                </c:pt>
                <c:pt idx="152">
                  <c:v>-23</c:v>
                </c:pt>
                <c:pt idx="153">
                  <c:v>4</c:v>
                </c:pt>
                <c:pt idx="154">
                  <c:v>-19</c:v>
                </c:pt>
                <c:pt idx="155">
                  <c:v>18</c:v>
                </c:pt>
                <c:pt idx="156">
                  <c:v>5</c:v>
                </c:pt>
                <c:pt idx="157">
                  <c:v>23</c:v>
                </c:pt>
                <c:pt idx="158">
                  <c:v>-1</c:v>
                </c:pt>
                <c:pt idx="159">
                  <c:v>1</c:v>
                </c:pt>
                <c:pt idx="160">
                  <c:v>-12</c:v>
                </c:pt>
                <c:pt idx="161">
                  <c:v>-3</c:v>
                </c:pt>
                <c:pt idx="162">
                  <c:v>-5</c:v>
                </c:pt>
                <c:pt idx="163">
                  <c:v>-14</c:v>
                </c:pt>
                <c:pt idx="164">
                  <c:v>9</c:v>
                </c:pt>
                <c:pt idx="165">
                  <c:v>20</c:v>
                </c:pt>
                <c:pt idx="166">
                  <c:v>24</c:v>
                </c:pt>
                <c:pt idx="167">
                  <c:v>13</c:v>
                </c:pt>
                <c:pt idx="168">
                  <c:v>14</c:v>
                </c:pt>
                <c:pt idx="169">
                  <c:v>25</c:v>
                </c:pt>
                <c:pt idx="170">
                  <c:v>19</c:v>
                </c:pt>
                <c:pt idx="171">
                  <c:v>14</c:v>
                </c:pt>
                <c:pt idx="172">
                  <c:v>-10</c:v>
                </c:pt>
                <c:pt idx="173">
                  <c:v>18</c:v>
                </c:pt>
                <c:pt idx="174">
                  <c:v>3</c:v>
                </c:pt>
                <c:pt idx="175">
                  <c:v>-20</c:v>
                </c:pt>
                <c:pt idx="176">
                  <c:v>-5</c:v>
                </c:pt>
                <c:pt idx="177">
                  <c:v>4</c:v>
                </c:pt>
                <c:pt idx="178">
                  <c:v>4</c:v>
                </c:pt>
                <c:pt idx="179">
                  <c:v>17</c:v>
                </c:pt>
                <c:pt idx="180">
                  <c:v>-3</c:v>
                </c:pt>
                <c:pt idx="181">
                  <c:v>23</c:v>
                </c:pt>
                <c:pt idx="182">
                  <c:v>-16</c:v>
                </c:pt>
                <c:pt idx="183">
                  <c:v>2</c:v>
                </c:pt>
                <c:pt idx="184">
                  <c:v>-23</c:v>
                </c:pt>
                <c:pt idx="185">
                  <c:v>-9</c:v>
                </c:pt>
                <c:pt idx="186">
                  <c:v>0</c:v>
                </c:pt>
                <c:pt idx="187">
                  <c:v>-25</c:v>
                </c:pt>
                <c:pt idx="188">
                  <c:v>25</c:v>
                </c:pt>
                <c:pt idx="189">
                  <c:v>10</c:v>
                </c:pt>
                <c:pt idx="190">
                  <c:v>-21</c:v>
                </c:pt>
                <c:pt idx="191">
                  <c:v>14</c:v>
                </c:pt>
                <c:pt idx="192">
                  <c:v>-6</c:v>
                </c:pt>
                <c:pt idx="193">
                  <c:v>22</c:v>
                </c:pt>
                <c:pt idx="194">
                  <c:v>-32</c:v>
                </c:pt>
                <c:pt idx="195">
                  <c:v>23</c:v>
                </c:pt>
                <c:pt idx="196">
                  <c:v>9</c:v>
                </c:pt>
                <c:pt idx="197">
                  <c:v>-33</c:v>
                </c:pt>
                <c:pt idx="198">
                  <c:v>9</c:v>
                </c:pt>
                <c:pt idx="199">
                  <c:v>11</c:v>
                </c:pt>
                <c:pt idx="200">
                  <c:v>5</c:v>
                </c:pt>
                <c:pt idx="201">
                  <c:v>-10</c:v>
                </c:pt>
                <c:pt idx="202">
                  <c:v>9</c:v>
                </c:pt>
                <c:pt idx="203">
                  <c:v>-14</c:v>
                </c:pt>
                <c:pt idx="204">
                  <c:v>-9</c:v>
                </c:pt>
                <c:pt idx="205">
                  <c:v>-2</c:v>
                </c:pt>
                <c:pt idx="206">
                  <c:v>-2</c:v>
                </c:pt>
                <c:pt idx="207">
                  <c:v>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A0-4442-A4C2-392541F48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574976"/>
        <c:axId val="1574575456"/>
      </c:scatterChart>
      <c:valAx>
        <c:axId val="157457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HK"/>
                  <a:t>Predicted Match Strength Difference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575456"/>
        <c:crosses val="autoZero"/>
        <c:crossBetween val="midCat"/>
      </c:valAx>
      <c:valAx>
        <c:axId val="157457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HK"/>
                  <a:t>Actual Match Score</a:t>
                </a:r>
                <a:r>
                  <a:rPr lang="en-HK" baseline="0"/>
                  <a:t> Margin</a:t>
                </a:r>
                <a:endParaRPr lang="en-H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57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Actual</a:t>
            </a:r>
            <a:r>
              <a:rPr lang="en-HK" baseline="0"/>
              <a:t> Score Margin (w.r.t. 86254B) against predicted strength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539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'86254B matches'!$P$2:$P$11</c:f>
              <c:numCache>
                <c:formatCode>General</c:formatCode>
                <c:ptCount val="10"/>
                <c:pt idx="0">
                  <c:v>-0.97515673662748203</c:v>
                </c:pt>
                <c:pt idx="1">
                  <c:v>0.44488103572620002</c:v>
                </c:pt>
                <c:pt idx="2">
                  <c:v>0.16331420190623799</c:v>
                </c:pt>
                <c:pt idx="3">
                  <c:v>0.132374624320795</c:v>
                </c:pt>
                <c:pt idx="4">
                  <c:v>0.65491222520105896</c:v>
                </c:pt>
                <c:pt idx="5">
                  <c:v>-0.58814844461814098</c:v>
                </c:pt>
                <c:pt idx="6">
                  <c:v>-0.88495803339536505</c:v>
                </c:pt>
                <c:pt idx="7">
                  <c:v>0.36506947244682297</c:v>
                </c:pt>
                <c:pt idx="8">
                  <c:v>-0.58546125616077704</c:v>
                </c:pt>
                <c:pt idx="9">
                  <c:v>0.108796166637896</c:v>
                </c:pt>
              </c:numCache>
            </c:numRef>
          </c:xVal>
          <c:yVal>
            <c:numRef>
              <c:f>'86254B matches'!$J$2:$J$11</c:f>
              <c:numCache>
                <c:formatCode>General</c:formatCode>
                <c:ptCount val="10"/>
                <c:pt idx="0">
                  <c:v>-9</c:v>
                </c:pt>
                <c:pt idx="1">
                  <c:v>17</c:v>
                </c:pt>
                <c:pt idx="2">
                  <c:v>17</c:v>
                </c:pt>
                <c:pt idx="3">
                  <c:v>10</c:v>
                </c:pt>
                <c:pt idx="4">
                  <c:v>34</c:v>
                </c:pt>
                <c:pt idx="5">
                  <c:v>-29</c:v>
                </c:pt>
                <c:pt idx="6">
                  <c:v>-30</c:v>
                </c:pt>
                <c:pt idx="7">
                  <c:v>-9</c:v>
                </c:pt>
                <c:pt idx="8">
                  <c:v>-20</c:v>
                </c:pt>
                <c:pt idx="9">
                  <c:v>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28-4D5E-9D41-ABDD32CA7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600288"/>
        <c:axId val="1570603168"/>
      </c:scatterChart>
      <c:valAx>
        <c:axId val="157060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Strength</a:t>
                </a:r>
                <a:r>
                  <a:rPr lang="en-US" baseline="0"/>
                  <a:t> Difference / 86254B team strength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3168"/>
        <c:crosses val="autoZero"/>
        <c:crossBetween val="midCat"/>
      </c:valAx>
      <c:valAx>
        <c:axId val="157060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HK"/>
                  <a:t>ACtual Sore Margin (w.r.t. to 86254B)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0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558084</xdr:colOff>
      <xdr:row>2</xdr:row>
      <xdr:rowOff>139522</xdr:rowOff>
    </xdr:from>
    <xdr:to>
      <xdr:col>28</xdr:col>
      <xdr:colOff>574291</xdr:colOff>
      <xdr:row>18</xdr:row>
      <xdr:rowOff>257257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DE8B54-324D-4388-9D1C-10ACF7385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17</xdr:row>
      <xdr:rowOff>0</xdr:rowOff>
    </xdr:from>
    <xdr:to>
      <xdr:col>9</xdr:col>
      <xdr:colOff>304800</xdr:colOff>
      <xdr:row>18</xdr:row>
      <xdr:rowOff>121919</xdr:rowOff>
    </xdr:to>
    <xdr:sp macro="" textlink="">
      <xdr:nvSpPr>
        <xdr:cNvPr id="3077" name="AutoShape 5" descr="Output image">
          <a:extLst>
            <a:ext uri="{FF2B5EF4-FFF2-40B4-BE49-F238E27FC236}">
              <a16:creationId xmlns:a16="http://schemas.microsoft.com/office/drawing/2014/main" id="{94764C29-1A9C-ADCA-7CCF-0752CA10A5C1}"/>
            </a:ext>
          </a:extLst>
        </xdr:cNvPr>
        <xdr:cNvSpPr>
          <a:spLocks noChangeAspect="1" noChangeArrowheads="1"/>
        </xdr:cNvSpPr>
      </xdr:nvSpPr>
      <xdr:spPr bwMode="auto">
        <a:xfrm>
          <a:off x="6355080" y="414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730249</xdr:colOff>
      <xdr:row>12</xdr:row>
      <xdr:rowOff>63501</xdr:rowOff>
    </xdr:from>
    <xdr:to>
      <xdr:col>14</xdr:col>
      <xdr:colOff>433916</xdr:colOff>
      <xdr:row>33</xdr:row>
      <xdr:rowOff>63501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02CA6B-C8F3-4B09-966F-6596DA28B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396C-8A87-4B0D-9088-ACCF9E354963}">
  <dimension ref="A1:AG211"/>
  <sheetViews>
    <sheetView zoomScale="80" zoomScaleNormal="80" workbookViewId="0">
      <selection activeCell="AE8" sqref="AE8"/>
    </sheetView>
  </sheetViews>
  <sheetFormatPr defaultRowHeight="14.4" x14ac:dyDescent="0.3"/>
  <cols>
    <col min="14" max="14" width="11.21875" bestFit="1" customWidth="1"/>
    <col min="17" max="17" width="11.5546875" bestFit="1" customWidth="1"/>
  </cols>
  <sheetData>
    <row r="1" spans="1:17" ht="15" thickBot="1" x14ac:dyDescent="0.35">
      <c r="A1" s="10" t="s">
        <v>0</v>
      </c>
      <c r="B1" s="13" t="s">
        <v>1</v>
      </c>
      <c r="C1" s="13"/>
      <c r="D1" s="13"/>
      <c r="E1" s="10" t="s">
        <v>2</v>
      </c>
      <c r="F1" s="13" t="s">
        <v>3</v>
      </c>
      <c r="G1" s="13"/>
      <c r="H1" s="13"/>
      <c r="I1" s="10" t="s">
        <v>2</v>
      </c>
      <c r="K1" t="s">
        <v>310</v>
      </c>
      <c r="L1" t="s">
        <v>311</v>
      </c>
    </row>
    <row r="2" spans="1:17" ht="15" thickBot="1" x14ac:dyDescent="0.35">
      <c r="A2" s="1" t="s">
        <v>4</v>
      </c>
      <c r="B2" s="2" t="s">
        <v>5</v>
      </c>
      <c r="C2" s="2" t="s">
        <v>6</v>
      </c>
      <c r="D2" s="2"/>
      <c r="E2" s="2">
        <v>15</v>
      </c>
      <c r="F2" s="3" t="s">
        <v>7</v>
      </c>
      <c r="G2" s="4" t="s">
        <v>8</v>
      </c>
      <c r="H2" s="4"/>
      <c r="I2" s="4">
        <v>39</v>
      </c>
      <c r="K2" t="str">
        <f t="shared" ref="K2:K65" si="0">IF(E2&gt;I2,"R",IF(E2=I2,"D","B"))</f>
        <v>B</v>
      </c>
      <c r="L2">
        <f t="shared" ref="L2:L64" si="1">E2-I2</f>
        <v>-24</v>
      </c>
      <c r="N2">
        <v>-1.09293772070572</v>
      </c>
      <c r="O2" t="str">
        <f>IF(N2&lt;0,"B","R")</f>
        <v>B</v>
      </c>
      <c r="Q2">
        <f t="shared" ref="Q2:Q65" si="2">IF(K2=O2,1,0)</f>
        <v>1</v>
      </c>
    </row>
    <row r="3" spans="1:17" ht="15" thickBot="1" x14ac:dyDescent="0.35">
      <c r="A3" s="1" t="s">
        <v>9</v>
      </c>
      <c r="B3" s="2" t="s">
        <v>10</v>
      </c>
      <c r="C3" s="2" t="s">
        <v>11</v>
      </c>
      <c r="D3" s="2"/>
      <c r="E3" s="2">
        <v>28</v>
      </c>
      <c r="F3" s="3" t="s">
        <v>12</v>
      </c>
      <c r="G3" s="4" t="s">
        <v>13</v>
      </c>
      <c r="H3" s="4"/>
      <c r="I3" s="4">
        <v>34</v>
      </c>
      <c r="K3" t="str">
        <f t="shared" si="0"/>
        <v>B</v>
      </c>
      <c r="L3">
        <f t="shared" si="1"/>
        <v>-6</v>
      </c>
      <c r="N3">
        <v>-0.22520022409589399</v>
      </c>
      <c r="O3" t="str">
        <f t="shared" ref="O3:O65" si="3">IF(N3&lt;0,"B","R")</f>
        <v>B</v>
      </c>
      <c r="Q3">
        <f t="shared" si="2"/>
        <v>1</v>
      </c>
    </row>
    <row r="4" spans="1:17" ht="15" thickBot="1" x14ac:dyDescent="0.35">
      <c r="A4" s="1" t="s">
        <v>14</v>
      </c>
      <c r="B4" s="5" t="s">
        <v>15</v>
      </c>
      <c r="C4" s="5" t="s">
        <v>16</v>
      </c>
      <c r="D4" s="5"/>
      <c r="E4" s="5">
        <v>40</v>
      </c>
      <c r="F4" s="6" t="s">
        <v>17</v>
      </c>
      <c r="G4" s="2" t="s">
        <v>18</v>
      </c>
      <c r="H4" s="2"/>
      <c r="I4" s="2">
        <v>0</v>
      </c>
      <c r="K4" t="str">
        <f t="shared" si="0"/>
        <v>R</v>
      </c>
      <c r="L4">
        <f t="shared" si="1"/>
        <v>40</v>
      </c>
      <c r="N4">
        <v>1.1962546363214199</v>
      </c>
      <c r="O4" t="str">
        <f t="shared" si="3"/>
        <v>R</v>
      </c>
      <c r="Q4">
        <f t="shared" si="2"/>
        <v>1</v>
      </c>
    </row>
    <row r="5" spans="1:17" ht="15" thickBot="1" x14ac:dyDescent="0.35">
      <c r="A5" s="1" t="s">
        <v>19</v>
      </c>
      <c r="B5" s="5" t="s">
        <v>20</v>
      </c>
      <c r="C5" s="5" t="s">
        <v>21</v>
      </c>
      <c r="D5" s="5"/>
      <c r="E5" s="5">
        <v>28</v>
      </c>
      <c r="F5" s="6" t="s">
        <v>22</v>
      </c>
      <c r="G5" s="2" t="s">
        <v>23</v>
      </c>
      <c r="H5" s="2"/>
      <c r="I5" s="2">
        <v>26</v>
      </c>
      <c r="K5" t="str">
        <f t="shared" si="0"/>
        <v>R</v>
      </c>
      <c r="L5">
        <f t="shared" si="1"/>
        <v>2</v>
      </c>
      <c r="N5">
        <v>0.35624317708490399</v>
      </c>
      <c r="O5" t="str">
        <f t="shared" si="3"/>
        <v>R</v>
      </c>
      <c r="Q5">
        <f t="shared" si="2"/>
        <v>1</v>
      </c>
    </row>
    <row r="6" spans="1:17" ht="15" thickBot="1" x14ac:dyDescent="0.35">
      <c r="A6" s="1" t="s">
        <v>24</v>
      </c>
      <c r="B6" s="5" t="s">
        <v>25</v>
      </c>
      <c r="C6" s="5" t="s">
        <v>26</v>
      </c>
      <c r="D6" s="5"/>
      <c r="E6" s="5">
        <v>42</v>
      </c>
      <c r="F6" s="6" t="s">
        <v>27</v>
      </c>
      <c r="G6" s="2" t="s">
        <v>28</v>
      </c>
      <c r="H6" s="2"/>
      <c r="I6" s="2">
        <v>24</v>
      </c>
      <c r="K6" t="str">
        <f t="shared" si="0"/>
        <v>R</v>
      </c>
      <c r="L6">
        <f t="shared" si="1"/>
        <v>18</v>
      </c>
      <c r="N6">
        <v>7.9016696656347404E-2</v>
      </c>
      <c r="O6" t="str">
        <f t="shared" si="3"/>
        <v>R</v>
      </c>
      <c r="Q6">
        <f t="shared" si="2"/>
        <v>1</v>
      </c>
    </row>
    <row r="7" spans="1:17" ht="15" thickBot="1" x14ac:dyDescent="0.35">
      <c r="A7" s="1" t="s">
        <v>29</v>
      </c>
      <c r="B7" s="2" t="s">
        <v>30</v>
      </c>
      <c r="C7" s="2" t="s">
        <v>31</v>
      </c>
      <c r="D7" s="2"/>
      <c r="E7" s="2">
        <v>31</v>
      </c>
      <c r="F7" s="3" t="s">
        <v>32</v>
      </c>
      <c r="G7" s="4" t="s">
        <v>33</v>
      </c>
      <c r="H7" s="4"/>
      <c r="I7" s="4">
        <v>40</v>
      </c>
      <c r="K7" t="str">
        <f t="shared" si="0"/>
        <v>B</v>
      </c>
      <c r="L7">
        <f t="shared" si="1"/>
        <v>-9</v>
      </c>
      <c r="N7">
        <v>-1.1139548120104501</v>
      </c>
      <c r="O7" t="str">
        <f t="shared" si="3"/>
        <v>B</v>
      </c>
      <c r="Q7">
        <f t="shared" si="2"/>
        <v>1</v>
      </c>
    </row>
    <row r="8" spans="1:17" ht="15" thickBot="1" x14ac:dyDescent="0.35">
      <c r="A8" s="1" t="s">
        <v>34</v>
      </c>
      <c r="B8" s="2" t="s">
        <v>35</v>
      </c>
      <c r="C8" s="2" t="s">
        <v>36</v>
      </c>
      <c r="D8" s="2"/>
      <c r="E8" s="2">
        <v>12</v>
      </c>
      <c r="F8" s="3" t="s">
        <v>37</v>
      </c>
      <c r="G8" s="4" t="s">
        <v>38</v>
      </c>
      <c r="H8" s="4"/>
      <c r="I8" s="4">
        <v>49</v>
      </c>
      <c r="K8" t="str">
        <f t="shared" si="0"/>
        <v>B</v>
      </c>
      <c r="L8">
        <f t="shared" si="1"/>
        <v>-37</v>
      </c>
      <c r="N8">
        <v>-0.453320319678232</v>
      </c>
      <c r="O8" t="str">
        <f t="shared" si="3"/>
        <v>B</v>
      </c>
      <c r="Q8">
        <f t="shared" si="2"/>
        <v>1</v>
      </c>
    </row>
    <row r="9" spans="1:17" ht="15" thickBot="1" x14ac:dyDescent="0.35">
      <c r="A9" s="1" t="s">
        <v>39</v>
      </c>
      <c r="B9" s="2" t="s">
        <v>40</v>
      </c>
      <c r="C9" s="2" t="s">
        <v>41</v>
      </c>
      <c r="D9" s="2"/>
      <c r="E9" s="2">
        <v>16</v>
      </c>
      <c r="F9" s="3" t="s">
        <v>42</v>
      </c>
      <c r="G9" s="4" t="s">
        <v>43</v>
      </c>
      <c r="H9" s="4"/>
      <c r="I9" s="4">
        <v>53</v>
      </c>
      <c r="K9" t="str">
        <f t="shared" si="0"/>
        <v>B</v>
      </c>
      <c r="L9">
        <f t="shared" si="1"/>
        <v>-37</v>
      </c>
      <c r="N9">
        <v>-0.15716469024788601</v>
      </c>
      <c r="O9" t="str">
        <f t="shared" si="3"/>
        <v>B</v>
      </c>
      <c r="Q9">
        <f t="shared" si="2"/>
        <v>1</v>
      </c>
    </row>
    <row r="10" spans="1:17" ht="15" thickBot="1" x14ac:dyDescent="0.35">
      <c r="A10" s="1" t="s">
        <v>44</v>
      </c>
      <c r="B10" s="2" t="s">
        <v>45</v>
      </c>
      <c r="C10" s="2" t="s">
        <v>46</v>
      </c>
      <c r="D10" s="2"/>
      <c r="E10" s="2">
        <v>25</v>
      </c>
      <c r="F10" s="3" t="s">
        <v>47</v>
      </c>
      <c r="G10" s="4" t="s">
        <v>48</v>
      </c>
      <c r="H10" s="4"/>
      <c r="I10" s="4">
        <v>28</v>
      </c>
      <c r="K10" t="str">
        <f t="shared" si="0"/>
        <v>B</v>
      </c>
      <c r="L10">
        <f t="shared" si="1"/>
        <v>-3</v>
      </c>
      <c r="N10">
        <v>-0.471266870554441</v>
      </c>
      <c r="O10" t="str">
        <f t="shared" si="3"/>
        <v>B</v>
      </c>
      <c r="Q10">
        <f t="shared" si="2"/>
        <v>1</v>
      </c>
    </row>
    <row r="11" spans="1:17" ht="23.4" thickBot="1" x14ac:dyDescent="0.35">
      <c r="A11" s="1" t="s">
        <v>49</v>
      </c>
      <c r="B11" s="5" t="s">
        <v>50</v>
      </c>
      <c r="C11" s="5" t="s">
        <v>51</v>
      </c>
      <c r="D11" s="5"/>
      <c r="E11" s="5">
        <v>31</v>
      </c>
      <c r="F11" s="6" t="s">
        <v>52</v>
      </c>
      <c r="G11" s="2" t="s">
        <v>53</v>
      </c>
      <c r="H11" s="2"/>
      <c r="I11" s="2">
        <v>28</v>
      </c>
      <c r="K11" t="str">
        <f t="shared" si="0"/>
        <v>R</v>
      </c>
      <c r="L11">
        <f t="shared" si="1"/>
        <v>3</v>
      </c>
      <c r="N11">
        <v>-0.56939933868204295</v>
      </c>
      <c r="O11" t="str">
        <f t="shared" si="3"/>
        <v>B</v>
      </c>
      <c r="Q11">
        <f t="shared" si="2"/>
        <v>0</v>
      </c>
    </row>
    <row r="12" spans="1:17" ht="23.4" thickBot="1" x14ac:dyDescent="0.35">
      <c r="A12" s="1" t="s">
        <v>54</v>
      </c>
      <c r="B12" s="5" t="s">
        <v>55</v>
      </c>
      <c r="C12" s="5" t="s">
        <v>56</v>
      </c>
      <c r="D12" s="5"/>
      <c r="E12" s="5">
        <v>43</v>
      </c>
      <c r="F12" s="6" t="s">
        <v>57</v>
      </c>
      <c r="G12" s="2" t="s">
        <v>58</v>
      </c>
      <c r="H12" s="2"/>
      <c r="I12" s="2">
        <v>21</v>
      </c>
      <c r="K12" t="str">
        <f t="shared" si="0"/>
        <v>R</v>
      </c>
      <c r="L12">
        <f t="shared" si="1"/>
        <v>22</v>
      </c>
      <c r="N12">
        <v>1.2533755455823401</v>
      </c>
      <c r="O12" t="str">
        <f t="shared" si="3"/>
        <v>R</v>
      </c>
      <c r="Q12">
        <f t="shared" si="2"/>
        <v>1</v>
      </c>
    </row>
    <row r="13" spans="1:17" ht="23.4" thickBot="1" x14ac:dyDescent="0.35">
      <c r="A13" s="1" t="s">
        <v>59</v>
      </c>
      <c r="B13" s="2" t="s">
        <v>60</v>
      </c>
      <c r="C13" s="2" t="s">
        <v>61</v>
      </c>
      <c r="D13" s="2"/>
      <c r="E13" s="2">
        <v>0</v>
      </c>
      <c r="F13" s="3" t="s">
        <v>62</v>
      </c>
      <c r="G13" s="4" t="s">
        <v>63</v>
      </c>
      <c r="H13" s="4"/>
      <c r="I13" s="4">
        <v>47</v>
      </c>
      <c r="K13" t="str">
        <f t="shared" si="0"/>
        <v>B</v>
      </c>
      <c r="L13">
        <f t="shared" si="1"/>
        <v>-47</v>
      </c>
      <c r="N13">
        <v>-1.24311304041325</v>
      </c>
      <c r="O13" t="str">
        <f t="shared" si="3"/>
        <v>B</v>
      </c>
      <c r="Q13">
        <f t="shared" si="2"/>
        <v>1</v>
      </c>
    </row>
    <row r="14" spans="1:17" ht="23.4" thickBot="1" x14ac:dyDescent="0.35">
      <c r="A14" s="1" t="s">
        <v>64</v>
      </c>
      <c r="B14" s="2" t="s">
        <v>65</v>
      </c>
      <c r="C14" s="2" t="s">
        <v>66</v>
      </c>
      <c r="D14" s="2"/>
      <c r="E14" s="2">
        <v>27</v>
      </c>
      <c r="F14" s="3" t="s">
        <v>67</v>
      </c>
      <c r="G14" s="4" t="s">
        <v>68</v>
      </c>
      <c r="H14" s="4"/>
      <c r="I14" s="4">
        <v>37</v>
      </c>
      <c r="K14" t="str">
        <f t="shared" si="0"/>
        <v>B</v>
      </c>
      <c r="L14">
        <f t="shared" si="1"/>
        <v>-10</v>
      </c>
      <c r="N14">
        <v>-1.34415899992017</v>
      </c>
      <c r="O14" t="str">
        <f t="shared" si="3"/>
        <v>B</v>
      </c>
      <c r="Q14">
        <f t="shared" si="2"/>
        <v>1</v>
      </c>
    </row>
    <row r="15" spans="1:17" ht="23.4" thickBot="1" x14ac:dyDescent="0.35">
      <c r="A15" s="1" t="s">
        <v>69</v>
      </c>
      <c r="B15" s="2" t="s">
        <v>70</v>
      </c>
      <c r="C15" s="2" t="s">
        <v>71</v>
      </c>
      <c r="D15" s="2"/>
      <c r="E15" s="2">
        <v>16</v>
      </c>
      <c r="F15" s="3" t="s">
        <v>72</v>
      </c>
      <c r="G15" s="4" t="s">
        <v>73</v>
      </c>
      <c r="H15" s="4"/>
      <c r="I15" s="4">
        <v>54</v>
      </c>
      <c r="K15" t="str">
        <f t="shared" si="0"/>
        <v>B</v>
      </c>
      <c r="L15">
        <f t="shared" si="1"/>
        <v>-38</v>
      </c>
      <c r="N15">
        <v>-0.352933459997336</v>
      </c>
      <c r="O15" t="str">
        <f t="shared" si="3"/>
        <v>B</v>
      </c>
      <c r="Q15">
        <f t="shared" si="2"/>
        <v>1</v>
      </c>
    </row>
    <row r="16" spans="1:17" ht="23.4" thickBot="1" x14ac:dyDescent="0.35">
      <c r="A16" s="1" t="s">
        <v>74</v>
      </c>
      <c r="B16" s="5" t="s">
        <v>75</v>
      </c>
      <c r="C16" s="5" t="s">
        <v>76</v>
      </c>
      <c r="D16" s="5"/>
      <c r="E16" s="5">
        <v>43</v>
      </c>
      <c r="F16" s="6" t="s">
        <v>77</v>
      </c>
      <c r="G16" s="2" t="s">
        <v>78</v>
      </c>
      <c r="H16" s="2"/>
      <c r="I16" s="2">
        <v>35</v>
      </c>
      <c r="K16" t="str">
        <f t="shared" si="0"/>
        <v>R</v>
      </c>
      <c r="L16">
        <f t="shared" si="1"/>
        <v>8</v>
      </c>
      <c r="N16">
        <v>0.61527701084441699</v>
      </c>
      <c r="O16" t="str">
        <f t="shared" si="3"/>
        <v>R</v>
      </c>
      <c r="Q16">
        <f t="shared" si="2"/>
        <v>1</v>
      </c>
    </row>
    <row r="17" spans="1:33" ht="23.4" thickBot="1" x14ac:dyDescent="0.35">
      <c r="A17" s="1" t="s">
        <v>79</v>
      </c>
      <c r="B17" s="2" t="s">
        <v>80</v>
      </c>
      <c r="C17" s="2" t="s">
        <v>81</v>
      </c>
      <c r="D17" s="2"/>
      <c r="E17" s="2">
        <v>29</v>
      </c>
      <c r="F17" s="3" t="s">
        <v>82</v>
      </c>
      <c r="G17" s="4" t="s">
        <v>83</v>
      </c>
      <c r="H17" s="4"/>
      <c r="I17" s="4">
        <v>36</v>
      </c>
      <c r="K17" t="str">
        <f t="shared" si="0"/>
        <v>B</v>
      </c>
      <c r="L17">
        <f t="shared" si="1"/>
        <v>-7</v>
      </c>
      <c r="N17">
        <v>0.84009898911337699</v>
      </c>
      <c r="O17" t="str">
        <f t="shared" si="3"/>
        <v>R</v>
      </c>
      <c r="Q17">
        <f t="shared" si="2"/>
        <v>0</v>
      </c>
    </row>
    <row r="18" spans="1:33" ht="23.4" thickBot="1" x14ac:dyDescent="0.35">
      <c r="A18" s="1" t="s">
        <v>84</v>
      </c>
      <c r="B18" s="2" t="s">
        <v>85</v>
      </c>
      <c r="C18" s="2" t="s">
        <v>86</v>
      </c>
      <c r="D18" s="2"/>
      <c r="E18" s="2">
        <v>33</v>
      </c>
      <c r="F18" s="3" t="s">
        <v>87</v>
      </c>
      <c r="G18" s="4" t="s">
        <v>88</v>
      </c>
      <c r="H18" s="4"/>
      <c r="I18" s="4">
        <v>42</v>
      </c>
      <c r="K18" t="str">
        <f t="shared" si="0"/>
        <v>B</v>
      </c>
      <c r="L18">
        <f t="shared" si="1"/>
        <v>-9</v>
      </c>
      <c r="N18">
        <v>-0.96829369936745502</v>
      </c>
      <c r="O18" t="str">
        <f t="shared" si="3"/>
        <v>B</v>
      </c>
      <c r="Q18">
        <f t="shared" si="2"/>
        <v>1</v>
      </c>
    </row>
    <row r="19" spans="1:33" ht="23.4" thickBot="1" x14ac:dyDescent="0.35">
      <c r="A19" s="1" t="s">
        <v>89</v>
      </c>
      <c r="B19" s="2" t="s">
        <v>90</v>
      </c>
      <c r="C19" s="2" t="s">
        <v>91</v>
      </c>
      <c r="D19" s="2"/>
      <c r="E19" s="2">
        <v>27</v>
      </c>
      <c r="F19" s="3" t="s">
        <v>92</v>
      </c>
      <c r="G19" s="4" t="s">
        <v>93</v>
      </c>
      <c r="H19" s="4"/>
      <c r="I19" s="4">
        <v>42</v>
      </c>
      <c r="K19" t="str">
        <f t="shared" si="0"/>
        <v>B</v>
      </c>
      <c r="L19">
        <f t="shared" si="1"/>
        <v>-15</v>
      </c>
      <c r="N19">
        <v>0.59497724464642299</v>
      </c>
      <c r="O19" t="str">
        <f t="shared" si="3"/>
        <v>R</v>
      </c>
      <c r="Q19">
        <f t="shared" si="2"/>
        <v>0</v>
      </c>
    </row>
    <row r="20" spans="1:33" ht="23.4" thickBot="1" x14ac:dyDescent="0.35">
      <c r="A20" s="1" t="s">
        <v>94</v>
      </c>
      <c r="B20" s="5" t="s">
        <v>95</v>
      </c>
      <c r="C20" s="5" t="s">
        <v>96</v>
      </c>
      <c r="D20" s="5"/>
      <c r="E20" s="5">
        <v>40</v>
      </c>
      <c r="F20" s="6" t="s">
        <v>97</v>
      </c>
      <c r="G20" s="2" t="s">
        <v>98</v>
      </c>
      <c r="H20" s="2"/>
      <c r="I20" s="2">
        <v>34</v>
      </c>
      <c r="K20" t="str">
        <f t="shared" si="0"/>
        <v>R</v>
      </c>
      <c r="L20">
        <f t="shared" si="1"/>
        <v>6</v>
      </c>
      <c r="N20">
        <v>0.737192797611951</v>
      </c>
      <c r="O20" t="str">
        <f t="shared" si="3"/>
        <v>R</v>
      </c>
      <c r="Q20">
        <f t="shared" si="2"/>
        <v>1</v>
      </c>
    </row>
    <row r="21" spans="1:33" ht="23.4" thickBot="1" x14ac:dyDescent="0.35">
      <c r="A21" s="1" t="s">
        <v>99</v>
      </c>
      <c r="B21" s="5" t="s">
        <v>100</v>
      </c>
      <c r="C21" s="5" t="s">
        <v>101</v>
      </c>
      <c r="D21" s="5"/>
      <c r="E21" s="5">
        <v>49</v>
      </c>
      <c r="F21" s="6" t="s">
        <v>102</v>
      </c>
      <c r="G21" s="2" t="s">
        <v>103</v>
      </c>
      <c r="H21" s="2"/>
      <c r="I21" s="2">
        <v>19</v>
      </c>
      <c r="K21" t="str">
        <f t="shared" si="0"/>
        <v>R</v>
      </c>
      <c r="L21">
        <f t="shared" si="1"/>
        <v>30</v>
      </c>
      <c r="N21">
        <v>0.14518370376263001</v>
      </c>
      <c r="O21" t="str">
        <f t="shared" si="3"/>
        <v>R</v>
      </c>
      <c r="Q21">
        <f t="shared" si="2"/>
        <v>1</v>
      </c>
      <c r="S21" s="14" t="s">
        <v>312</v>
      </c>
      <c r="T21" s="14"/>
      <c r="U21" s="14"/>
      <c r="V21" s="14"/>
      <c r="W21" s="14"/>
      <c r="X21" s="14"/>
      <c r="Y21" s="14"/>
      <c r="Z21" s="14"/>
      <c r="AA21" s="15">
        <f>CORREL(L2:L209,N2:N209)</f>
        <v>0.59948259171816953</v>
      </c>
      <c r="AB21" s="15"/>
      <c r="AC21" s="15"/>
      <c r="AD21" s="15"/>
      <c r="AE21" s="15"/>
      <c r="AF21" s="15"/>
      <c r="AG21" s="15"/>
    </row>
    <row r="22" spans="1:33" ht="23.4" thickBot="1" x14ac:dyDescent="0.35">
      <c r="A22" s="1" t="s">
        <v>104</v>
      </c>
      <c r="B22" s="2" t="s">
        <v>105</v>
      </c>
      <c r="C22" s="2" t="s">
        <v>106</v>
      </c>
      <c r="D22" s="2"/>
      <c r="E22" s="2">
        <v>25</v>
      </c>
      <c r="F22" s="3" t="s">
        <v>107</v>
      </c>
      <c r="G22" s="4" t="s">
        <v>13</v>
      </c>
      <c r="H22" s="4"/>
      <c r="I22" s="4">
        <v>45</v>
      </c>
      <c r="K22" t="str">
        <f t="shared" si="0"/>
        <v>B</v>
      </c>
      <c r="L22">
        <f t="shared" si="1"/>
        <v>-20</v>
      </c>
      <c r="N22">
        <v>-1.09424701851135</v>
      </c>
      <c r="O22" t="str">
        <f t="shared" si="3"/>
        <v>B</v>
      </c>
      <c r="Q22">
        <f t="shared" si="2"/>
        <v>1</v>
      </c>
      <c r="S22" s="14"/>
      <c r="T22" s="14"/>
      <c r="U22" s="14"/>
      <c r="V22" s="14"/>
      <c r="W22" s="14"/>
      <c r="X22" s="14"/>
      <c r="Y22" s="14"/>
      <c r="Z22" s="14"/>
      <c r="AA22" s="15"/>
      <c r="AB22" s="15"/>
      <c r="AC22" s="15"/>
      <c r="AD22" s="15"/>
      <c r="AE22" s="15"/>
      <c r="AF22" s="15"/>
      <c r="AG22" s="15"/>
    </row>
    <row r="23" spans="1:33" ht="23.4" thickBot="1" x14ac:dyDescent="0.35">
      <c r="A23" s="1" t="s">
        <v>108</v>
      </c>
      <c r="B23" s="5" t="s">
        <v>33</v>
      </c>
      <c r="C23" s="5" t="s">
        <v>27</v>
      </c>
      <c r="D23" s="5"/>
      <c r="E23" s="5">
        <v>45</v>
      </c>
      <c r="F23" s="6" t="s">
        <v>40</v>
      </c>
      <c r="G23" s="2" t="s">
        <v>5</v>
      </c>
      <c r="H23" s="2"/>
      <c r="I23" s="2">
        <v>3</v>
      </c>
      <c r="K23" t="str">
        <f t="shared" si="0"/>
        <v>R</v>
      </c>
      <c r="L23">
        <f t="shared" si="1"/>
        <v>42</v>
      </c>
      <c r="N23">
        <v>1.5191753067642599</v>
      </c>
      <c r="O23" t="str">
        <f t="shared" si="3"/>
        <v>R</v>
      </c>
      <c r="Q23">
        <f t="shared" si="2"/>
        <v>1</v>
      </c>
      <c r="S23" s="14"/>
      <c r="T23" s="14"/>
      <c r="U23" s="14"/>
      <c r="V23" s="14"/>
      <c r="W23" s="14"/>
      <c r="X23" s="14"/>
      <c r="Y23" s="14"/>
      <c r="Z23" s="14"/>
      <c r="AA23" s="15"/>
      <c r="AB23" s="15"/>
      <c r="AC23" s="15"/>
      <c r="AD23" s="15"/>
      <c r="AE23" s="15"/>
      <c r="AF23" s="15"/>
      <c r="AG23" s="15"/>
    </row>
    <row r="24" spans="1:33" ht="23.4" customHeight="1" thickBot="1" x14ac:dyDescent="0.5">
      <c r="A24" s="1" t="s">
        <v>109</v>
      </c>
      <c r="B24" s="2" t="s">
        <v>8</v>
      </c>
      <c r="C24" s="2" t="s">
        <v>11</v>
      </c>
      <c r="D24" s="2"/>
      <c r="E24" s="2">
        <v>24</v>
      </c>
      <c r="F24" s="3" t="s">
        <v>66</v>
      </c>
      <c r="G24" s="4" t="s">
        <v>26</v>
      </c>
      <c r="H24" s="4"/>
      <c r="I24" s="4">
        <v>25</v>
      </c>
      <c r="K24" t="str">
        <f t="shared" si="0"/>
        <v>B</v>
      </c>
      <c r="L24">
        <f t="shared" si="1"/>
        <v>-1</v>
      </c>
      <c r="N24">
        <v>-0.63516130311809105</v>
      </c>
      <c r="O24" t="str">
        <f t="shared" si="3"/>
        <v>B</v>
      </c>
      <c r="Q24">
        <f t="shared" si="2"/>
        <v>1</v>
      </c>
      <c r="S24" s="9"/>
      <c r="T24" s="9"/>
      <c r="U24" s="9"/>
      <c r="V24" s="9"/>
      <c r="W24" s="9"/>
      <c r="X24" s="9"/>
      <c r="Y24" s="9"/>
      <c r="Z24" s="9"/>
    </row>
    <row r="25" spans="1:33" ht="23.4" customHeight="1" thickBot="1" x14ac:dyDescent="0.35">
      <c r="A25" s="1" t="s">
        <v>110</v>
      </c>
      <c r="B25" s="2" t="s">
        <v>12</v>
      </c>
      <c r="C25" s="2" t="s">
        <v>63</v>
      </c>
      <c r="D25" s="2"/>
      <c r="E25" s="2">
        <v>16</v>
      </c>
      <c r="F25" s="3" t="s">
        <v>41</v>
      </c>
      <c r="G25" s="4" t="s">
        <v>20</v>
      </c>
      <c r="H25" s="4"/>
      <c r="I25" s="4">
        <v>34</v>
      </c>
      <c r="K25" t="str">
        <f t="shared" si="0"/>
        <v>B</v>
      </c>
      <c r="L25">
        <f t="shared" si="1"/>
        <v>-18</v>
      </c>
      <c r="N25">
        <v>-1.0719302183847501</v>
      </c>
      <c r="O25" t="str">
        <f t="shared" si="3"/>
        <v>B</v>
      </c>
      <c r="Q25">
        <f t="shared" si="2"/>
        <v>1</v>
      </c>
      <c r="S25" s="14" t="s">
        <v>315</v>
      </c>
      <c r="T25" s="14"/>
      <c r="U25" s="14"/>
      <c r="V25" s="14"/>
      <c r="W25" s="14"/>
      <c r="X25" s="14"/>
      <c r="Y25" s="14"/>
      <c r="Z25" s="14"/>
      <c r="AA25" s="16">
        <f>SUM(Q2:Q209)/208</f>
        <v>0.70673076923076927</v>
      </c>
      <c r="AB25" s="16"/>
      <c r="AC25" s="16"/>
      <c r="AD25" s="16"/>
      <c r="AE25" s="16"/>
      <c r="AF25" s="16"/>
      <c r="AG25" s="16"/>
    </row>
    <row r="26" spans="1:33" ht="23.4" customHeight="1" thickBot="1" x14ac:dyDescent="0.35">
      <c r="A26" s="1" t="s">
        <v>111</v>
      </c>
      <c r="B26" s="5" t="s">
        <v>18</v>
      </c>
      <c r="C26" s="5" t="s">
        <v>48</v>
      </c>
      <c r="D26" s="5"/>
      <c r="E26" s="5">
        <v>34</v>
      </c>
      <c r="F26" s="6" t="s">
        <v>60</v>
      </c>
      <c r="G26" s="2" t="s">
        <v>31</v>
      </c>
      <c r="H26" s="2"/>
      <c r="I26" s="2">
        <v>9</v>
      </c>
      <c r="K26" t="str">
        <f t="shared" si="0"/>
        <v>R</v>
      </c>
      <c r="L26">
        <f t="shared" si="1"/>
        <v>25</v>
      </c>
      <c r="N26">
        <v>2.2836206999445299</v>
      </c>
      <c r="O26" t="str">
        <f t="shared" si="3"/>
        <v>R</v>
      </c>
      <c r="Q26">
        <f t="shared" si="2"/>
        <v>1</v>
      </c>
      <c r="S26" s="14"/>
      <c r="T26" s="14"/>
      <c r="U26" s="14"/>
      <c r="V26" s="14"/>
      <c r="W26" s="14"/>
      <c r="X26" s="14"/>
      <c r="Y26" s="14"/>
      <c r="Z26" s="14"/>
      <c r="AA26" s="16"/>
      <c r="AB26" s="16"/>
      <c r="AC26" s="16"/>
      <c r="AD26" s="16"/>
      <c r="AE26" s="16"/>
      <c r="AF26" s="16"/>
      <c r="AG26" s="16"/>
    </row>
    <row r="27" spans="1:33" ht="23.4" customHeight="1" thickBot="1" x14ac:dyDescent="0.35">
      <c r="A27" s="1" t="s">
        <v>112</v>
      </c>
      <c r="B27" s="5" t="s">
        <v>83</v>
      </c>
      <c r="C27" s="5" t="s">
        <v>22</v>
      </c>
      <c r="D27" s="5"/>
      <c r="E27" s="5">
        <v>40</v>
      </c>
      <c r="F27" s="6" t="s">
        <v>70</v>
      </c>
      <c r="G27" s="2" t="s">
        <v>68</v>
      </c>
      <c r="H27" s="2"/>
      <c r="I27" s="2">
        <v>8</v>
      </c>
      <c r="K27" t="str">
        <f t="shared" si="0"/>
        <v>R</v>
      </c>
      <c r="L27">
        <f t="shared" si="1"/>
        <v>32</v>
      </c>
      <c r="N27">
        <v>0.86323271778173105</v>
      </c>
      <c r="O27" t="str">
        <f t="shared" si="3"/>
        <v>R</v>
      </c>
      <c r="Q27">
        <f t="shared" si="2"/>
        <v>1</v>
      </c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</row>
    <row r="28" spans="1:33" ht="23.4" thickBot="1" x14ac:dyDescent="0.35">
      <c r="A28" s="1" t="s">
        <v>113</v>
      </c>
      <c r="B28" s="2" t="s">
        <v>77</v>
      </c>
      <c r="C28" s="2" t="s">
        <v>62</v>
      </c>
      <c r="D28" s="2"/>
      <c r="E28" s="2">
        <v>25</v>
      </c>
      <c r="F28" s="3" t="s">
        <v>82</v>
      </c>
      <c r="G28" s="4" t="s">
        <v>43</v>
      </c>
      <c r="H28" s="4"/>
      <c r="I28" s="4">
        <v>35</v>
      </c>
      <c r="K28" t="str">
        <f t="shared" si="0"/>
        <v>B</v>
      </c>
      <c r="L28">
        <f t="shared" si="1"/>
        <v>-10</v>
      </c>
      <c r="N28">
        <v>-0.109797497653892</v>
      </c>
      <c r="O28" t="str">
        <f t="shared" si="3"/>
        <v>B</v>
      </c>
      <c r="Q28">
        <f t="shared" si="2"/>
        <v>1</v>
      </c>
    </row>
    <row r="29" spans="1:33" ht="23.4" thickBot="1" x14ac:dyDescent="0.35">
      <c r="A29" s="1" t="s">
        <v>114</v>
      </c>
      <c r="B29" s="2" t="s">
        <v>42</v>
      </c>
      <c r="C29" s="2" t="s">
        <v>92</v>
      </c>
      <c r="D29" s="2"/>
      <c r="E29" s="2">
        <v>23</v>
      </c>
      <c r="F29" s="3" t="s">
        <v>86</v>
      </c>
      <c r="G29" s="4" t="s">
        <v>46</v>
      </c>
      <c r="H29" s="4"/>
      <c r="I29" s="4">
        <v>32</v>
      </c>
      <c r="K29" t="str">
        <f t="shared" si="0"/>
        <v>B</v>
      </c>
      <c r="L29">
        <f t="shared" si="1"/>
        <v>-9</v>
      </c>
      <c r="N29">
        <v>0.37294160150021399</v>
      </c>
      <c r="O29" t="str">
        <f t="shared" si="3"/>
        <v>R</v>
      </c>
      <c r="Q29">
        <f t="shared" si="2"/>
        <v>0</v>
      </c>
    </row>
    <row r="30" spans="1:33" ht="23.4" thickBot="1" x14ac:dyDescent="0.35">
      <c r="A30" s="1" t="s">
        <v>115</v>
      </c>
      <c r="B30" s="2" t="s">
        <v>7</v>
      </c>
      <c r="C30" s="2" t="s">
        <v>71</v>
      </c>
      <c r="D30" s="2"/>
      <c r="E30" s="2">
        <v>26</v>
      </c>
      <c r="F30" s="3" t="s">
        <v>51</v>
      </c>
      <c r="G30" s="4" t="s">
        <v>81</v>
      </c>
      <c r="H30" s="4"/>
      <c r="I30" s="4">
        <v>36</v>
      </c>
      <c r="K30" t="str">
        <f t="shared" si="0"/>
        <v>B</v>
      </c>
      <c r="L30">
        <f t="shared" si="1"/>
        <v>-10</v>
      </c>
      <c r="N30">
        <v>-0.84164687864768595</v>
      </c>
      <c r="O30" t="str">
        <f t="shared" si="3"/>
        <v>B</v>
      </c>
      <c r="Q30">
        <f t="shared" si="2"/>
        <v>1</v>
      </c>
    </row>
    <row r="31" spans="1:33" ht="23.4" thickBot="1" x14ac:dyDescent="0.35">
      <c r="A31" s="1" t="s">
        <v>116</v>
      </c>
      <c r="B31" s="2" t="s">
        <v>52</v>
      </c>
      <c r="C31" s="2" t="s">
        <v>95</v>
      </c>
      <c r="D31" s="2"/>
      <c r="E31" s="2">
        <v>17</v>
      </c>
      <c r="F31" s="3" t="s">
        <v>101</v>
      </c>
      <c r="G31" s="4" t="s">
        <v>80</v>
      </c>
      <c r="H31" s="4"/>
      <c r="I31" s="4">
        <v>40</v>
      </c>
      <c r="K31" t="str">
        <f t="shared" si="0"/>
        <v>B</v>
      </c>
      <c r="L31">
        <f t="shared" si="1"/>
        <v>-23</v>
      </c>
      <c r="N31">
        <v>-0.30765482843052699</v>
      </c>
      <c r="O31" t="str">
        <f t="shared" si="3"/>
        <v>B</v>
      </c>
      <c r="Q31">
        <f t="shared" si="2"/>
        <v>1</v>
      </c>
    </row>
    <row r="32" spans="1:33" ht="23.4" thickBot="1" x14ac:dyDescent="0.35">
      <c r="A32" s="1" t="s">
        <v>117</v>
      </c>
      <c r="B32" s="2" t="s">
        <v>98</v>
      </c>
      <c r="C32" s="2" t="s">
        <v>93</v>
      </c>
      <c r="D32" s="2"/>
      <c r="E32" s="2">
        <v>26</v>
      </c>
      <c r="F32" s="3" t="s">
        <v>76</v>
      </c>
      <c r="G32" s="4" t="s">
        <v>100</v>
      </c>
      <c r="H32" s="4"/>
      <c r="I32" s="4">
        <v>44</v>
      </c>
      <c r="K32" t="str">
        <f t="shared" si="0"/>
        <v>B</v>
      </c>
      <c r="L32">
        <f t="shared" si="1"/>
        <v>-18</v>
      </c>
      <c r="N32">
        <v>-0.42316931383530898</v>
      </c>
      <c r="O32" t="str">
        <f t="shared" si="3"/>
        <v>B</v>
      </c>
      <c r="Q32">
        <f t="shared" si="2"/>
        <v>1</v>
      </c>
    </row>
    <row r="33" spans="1:17" ht="23.4" thickBot="1" x14ac:dyDescent="0.35">
      <c r="A33" s="1" t="s">
        <v>118</v>
      </c>
      <c r="B33" s="5" t="s">
        <v>28</v>
      </c>
      <c r="C33" s="5" t="s">
        <v>58</v>
      </c>
      <c r="D33" s="5"/>
      <c r="E33" s="5">
        <v>25</v>
      </c>
      <c r="F33" s="6" t="s">
        <v>87</v>
      </c>
      <c r="G33" s="2" t="s">
        <v>6</v>
      </c>
      <c r="H33" s="2"/>
      <c r="I33" s="2">
        <v>23</v>
      </c>
      <c r="K33" t="str">
        <f t="shared" si="0"/>
        <v>R</v>
      </c>
      <c r="L33">
        <f t="shared" si="1"/>
        <v>2</v>
      </c>
      <c r="N33">
        <v>-0.94397490926973804</v>
      </c>
      <c r="O33" t="str">
        <f t="shared" si="3"/>
        <v>B</v>
      </c>
      <c r="Q33">
        <f t="shared" si="2"/>
        <v>0</v>
      </c>
    </row>
    <row r="34" spans="1:17" ht="23.4" thickBot="1" x14ac:dyDescent="0.35">
      <c r="A34" s="1" t="s">
        <v>119</v>
      </c>
      <c r="B34" s="2" t="s">
        <v>106</v>
      </c>
      <c r="C34" s="2" t="s">
        <v>67</v>
      </c>
      <c r="D34" s="2"/>
      <c r="E34" s="2">
        <v>31</v>
      </c>
      <c r="F34" s="3" t="s">
        <v>85</v>
      </c>
      <c r="G34" s="4" t="s">
        <v>16</v>
      </c>
      <c r="H34" s="4"/>
      <c r="I34" s="4">
        <v>39</v>
      </c>
      <c r="K34" t="str">
        <f t="shared" si="0"/>
        <v>B</v>
      </c>
      <c r="L34">
        <f t="shared" si="1"/>
        <v>-8</v>
      </c>
      <c r="N34">
        <v>0.599682577459552</v>
      </c>
      <c r="O34" t="str">
        <f t="shared" si="3"/>
        <v>R</v>
      </c>
      <c r="Q34">
        <f t="shared" si="2"/>
        <v>0</v>
      </c>
    </row>
    <row r="35" spans="1:17" ht="23.4" thickBot="1" x14ac:dyDescent="0.35">
      <c r="A35" s="1" t="s">
        <v>120</v>
      </c>
      <c r="B35" s="2" t="s">
        <v>53</v>
      </c>
      <c r="C35" s="2" t="s">
        <v>72</v>
      </c>
      <c r="D35" s="2"/>
      <c r="E35" s="2">
        <v>14</v>
      </c>
      <c r="F35" s="3" t="s">
        <v>61</v>
      </c>
      <c r="G35" s="4" t="s">
        <v>38</v>
      </c>
      <c r="H35" s="4"/>
      <c r="I35" s="4">
        <v>19</v>
      </c>
      <c r="K35" t="str">
        <f t="shared" si="0"/>
        <v>B</v>
      </c>
      <c r="L35">
        <f t="shared" si="1"/>
        <v>-5</v>
      </c>
      <c r="N35">
        <v>-0.169171712585409</v>
      </c>
      <c r="O35" t="str">
        <f t="shared" si="3"/>
        <v>B</v>
      </c>
      <c r="Q35">
        <f t="shared" si="2"/>
        <v>1</v>
      </c>
    </row>
    <row r="36" spans="1:17" ht="23.4" thickBot="1" x14ac:dyDescent="0.35">
      <c r="A36" s="1" t="s">
        <v>121</v>
      </c>
      <c r="B36" s="5" t="s">
        <v>15</v>
      </c>
      <c r="C36" s="5" t="s">
        <v>96</v>
      </c>
      <c r="D36" s="5"/>
      <c r="E36" s="5">
        <v>46</v>
      </c>
      <c r="F36" s="6" t="s">
        <v>25</v>
      </c>
      <c r="G36" s="2" t="s">
        <v>65</v>
      </c>
      <c r="H36" s="2"/>
      <c r="I36" s="2">
        <v>27</v>
      </c>
      <c r="K36" t="str">
        <f t="shared" si="0"/>
        <v>R</v>
      </c>
      <c r="L36">
        <f t="shared" si="1"/>
        <v>19</v>
      </c>
      <c r="N36">
        <v>1.45320752385134</v>
      </c>
      <c r="O36" t="str">
        <f t="shared" si="3"/>
        <v>R</v>
      </c>
      <c r="Q36">
        <f t="shared" si="2"/>
        <v>1</v>
      </c>
    </row>
    <row r="37" spans="1:17" ht="23.4" thickBot="1" x14ac:dyDescent="0.35">
      <c r="A37" s="1" t="s">
        <v>122</v>
      </c>
      <c r="B37" s="5" t="s">
        <v>32</v>
      </c>
      <c r="C37" s="5" t="s">
        <v>107</v>
      </c>
      <c r="D37" s="5"/>
      <c r="E37" s="5">
        <v>46</v>
      </c>
      <c r="F37" s="6" t="s">
        <v>75</v>
      </c>
      <c r="G37" s="2" t="s">
        <v>36</v>
      </c>
      <c r="H37" s="2"/>
      <c r="I37" s="2">
        <v>8</v>
      </c>
      <c r="K37" t="str">
        <f t="shared" si="0"/>
        <v>R</v>
      </c>
      <c r="L37">
        <f t="shared" si="1"/>
        <v>38</v>
      </c>
      <c r="N37">
        <v>0.379207773891022</v>
      </c>
      <c r="O37" t="str">
        <f t="shared" si="3"/>
        <v>R</v>
      </c>
      <c r="Q37">
        <f t="shared" si="2"/>
        <v>1</v>
      </c>
    </row>
    <row r="38" spans="1:17" ht="23.4" thickBot="1" x14ac:dyDescent="0.35">
      <c r="A38" s="1" t="s">
        <v>123</v>
      </c>
      <c r="B38" s="5" t="s">
        <v>103</v>
      </c>
      <c r="C38" s="5" t="s">
        <v>23</v>
      </c>
      <c r="D38" s="5"/>
      <c r="E38" s="5">
        <v>29</v>
      </c>
      <c r="F38" s="6" t="s">
        <v>35</v>
      </c>
      <c r="G38" s="2" t="s">
        <v>90</v>
      </c>
      <c r="H38" s="2"/>
      <c r="I38" s="2">
        <v>16</v>
      </c>
      <c r="K38" t="str">
        <f t="shared" si="0"/>
        <v>R</v>
      </c>
      <c r="L38">
        <f t="shared" si="1"/>
        <v>13</v>
      </c>
      <c r="N38">
        <v>-5.2936208251503896E-3</v>
      </c>
      <c r="O38" t="str">
        <f t="shared" si="3"/>
        <v>B</v>
      </c>
      <c r="Q38">
        <f t="shared" si="2"/>
        <v>0</v>
      </c>
    </row>
    <row r="39" spans="1:17" ht="23.4" thickBot="1" x14ac:dyDescent="0.35">
      <c r="A39" s="1" t="s">
        <v>124</v>
      </c>
      <c r="B39" s="2" t="s">
        <v>73</v>
      </c>
      <c r="C39" s="2" t="s">
        <v>88</v>
      </c>
      <c r="D39" s="2"/>
      <c r="E39" s="2">
        <v>27</v>
      </c>
      <c r="F39" s="3" t="s">
        <v>50</v>
      </c>
      <c r="G39" s="4" t="s">
        <v>45</v>
      </c>
      <c r="H39" s="4"/>
      <c r="I39" s="4">
        <v>39</v>
      </c>
      <c r="K39" t="str">
        <f t="shared" si="0"/>
        <v>B</v>
      </c>
      <c r="L39">
        <f t="shared" si="1"/>
        <v>-12</v>
      </c>
      <c r="N39">
        <v>0.24382712951699601</v>
      </c>
      <c r="O39" t="str">
        <f t="shared" si="3"/>
        <v>R</v>
      </c>
      <c r="Q39">
        <f t="shared" si="2"/>
        <v>0</v>
      </c>
    </row>
    <row r="40" spans="1:17" ht="23.4" thickBot="1" x14ac:dyDescent="0.35">
      <c r="A40" s="1" t="s">
        <v>125</v>
      </c>
      <c r="B40" s="5" t="s">
        <v>47</v>
      </c>
      <c r="C40" s="5" t="s">
        <v>91</v>
      </c>
      <c r="D40" s="5"/>
      <c r="E40" s="5">
        <v>21</v>
      </c>
      <c r="F40" s="6" t="s">
        <v>21</v>
      </c>
      <c r="G40" s="2" t="s">
        <v>56</v>
      </c>
      <c r="H40" s="2"/>
      <c r="I40" s="2">
        <v>11</v>
      </c>
      <c r="K40" t="str">
        <f t="shared" si="0"/>
        <v>R</v>
      </c>
      <c r="L40">
        <f t="shared" si="1"/>
        <v>10</v>
      </c>
      <c r="N40">
        <v>-0.245914536124378</v>
      </c>
      <c r="O40" t="str">
        <f t="shared" si="3"/>
        <v>B</v>
      </c>
      <c r="Q40">
        <f t="shared" si="2"/>
        <v>0</v>
      </c>
    </row>
    <row r="41" spans="1:17" ht="23.4" thickBot="1" x14ac:dyDescent="0.35">
      <c r="A41" s="1" t="s">
        <v>126</v>
      </c>
      <c r="B41" s="5" t="s">
        <v>57</v>
      </c>
      <c r="C41" s="5" t="s">
        <v>37</v>
      </c>
      <c r="D41" s="5"/>
      <c r="E41" s="5">
        <v>49</v>
      </c>
      <c r="F41" s="6" t="s">
        <v>10</v>
      </c>
      <c r="G41" s="2" t="s">
        <v>105</v>
      </c>
      <c r="H41" s="2"/>
      <c r="I41" s="2">
        <v>23</v>
      </c>
      <c r="K41" t="str">
        <f t="shared" si="0"/>
        <v>R</v>
      </c>
      <c r="L41">
        <f t="shared" si="1"/>
        <v>26</v>
      </c>
      <c r="N41">
        <v>1.2372786747242399</v>
      </c>
      <c r="O41" t="str">
        <f t="shared" si="3"/>
        <v>R</v>
      </c>
      <c r="Q41">
        <f t="shared" si="2"/>
        <v>1</v>
      </c>
    </row>
    <row r="42" spans="1:17" ht="23.4" thickBot="1" x14ac:dyDescent="0.35">
      <c r="A42" s="1" t="s">
        <v>127</v>
      </c>
      <c r="B42" s="2" t="s">
        <v>17</v>
      </c>
      <c r="C42" s="2" t="s">
        <v>102</v>
      </c>
      <c r="D42" s="2"/>
      <c r="E42" s="2">
        <v>27</v>
      </c>
      <c r="F42" s="3" t="s">
        <v>30</v>
      </c>
      <c r="G42" s="4" t="s">
        <v>55</v>
      </c>
      <c r="H42" s="4"/>
      <c r="I42" s="4">
        <v>44</v>
      </c>
      <c r="K42" t="str">
        <f t="shared" si="0"/>
        <v>B</v>
      </c>
      <c r="L42">
        <f t="shared" si="1"/>
        <v>-17</v>
      </c>
      <c r="N42">
        <v>-0.77491367294568403</v>
      </c>
      <c r="O42" t="str">
        <f t="shared" si="3"/>
        <v>B</v>
      </c>
      <c r="Q42">
        <f t="shared" si="2"/>
        <v>1</v>
      </c>
    </row>
    <row r="43" spans="1:17" ht="23.4" thickBot="1" x14ac:dyDescent="0.35">
      <c r="A43" s="1" t="s">
        <v>128</v>
      </c>
      <c r="B43" s="5" t="s">
        <v>97</v>
      </c>
      <c r="C43" s="5" t="s">
        <v>78</v>
      </c>
      <c r="D43" s="5"/>
      <c r="E43" s="5">
        <v>44</v>
      </c>
      <c r="F43" s="6" t="s">
        <v>52</v>
      </c>
      <c r="G43" s="2" t="s">
        <v>5</v>
      </c>
      <c r="H43" s="2"/>
      <c r="I43" s="2">
        <v>20</v>
      </c>
      <c r="K43" t="str">
        <f t="shared" si="0"/>
        <v>R</v>
      </c>
      <c r="L43">
        <f t="shared" si="1"/>
        <v>24</v>
      </c>
      <c r="N43">
        <v>1.2294961581685899</v>
      </c>
      <c r="O43" t="str">
        <f t="shared" si="3"/>
        <v>R</v>
      </c>
      <c r="Q43">
        <f t="shared" si="2"/>
        <v>1</v>
      </c>
    </row>
    <row r="44" spans="1:17" ht="23.4" thickBot="1" x14ac:dyDescent="0.35">
      <c r="A44" s="1" t="s">
        <v>129</v>
      </c>
      <c r="B44" s="5" t="s">
        <v>51</v>
      </c>
      <c r="C44" s="5" t="s">
        <v>101</v>
      </c>
      <c r="D44" s="5"/>
      <c r="E44" s="5">
        <v>32</v>
      </c>
      <c r="F44" s="6" t="s">
        <v>106</v>
      </c>
      <c r="G44" s="2" t="s">
        <v>41</v>
      </c>
      <c r="H44" s="2"/>
      <c r="I44" s="2">
        <v>29</v>
      </c>
      <c r="K44" t="str">
        <f t="shared" si="0"/>
        <v>R</v>
      </c>
      <c r="L44">
        <f t="shared" si="1"/>
        <v>3</v>
      </c>
      <c r="N44">
        <v>0.14135133308478001</v>
      </c>
      <c r="O44" t="str">
        <f t="shared" si="3"/>
        <v>R</v>
      </c>
      <c r="Q44">
        <f t="shared" si="2"/>
        <v>1</v>
      </c>
    </row>
    <row r="45" spans="1:17" ht="23.4" thickBot="1" x14ac:dyDescent="0.35">
      <c r="A45" s="1" t="s">
        <v>130</v>
      </c>
      <c r="B45" s="5" t="s">
        <v>13</v>
      </c>
      <c r="C45" s="5" t="s">
        <v>76</v>
      </c>
      <c r="D45" s="5"/>
      <c r="E45" s="5">
        <v>41</v>
      </c>
      <c r="F45" s="6" t="s">
        <v>62</v>
      </c>
      <c r="G45" s="2" t="s">
        <v>85</v>
      </c>
      <c r="H45" s="2"/>
      <c r="I45" s="2">
        <v>20</v>
      </c>
      <c r="K45" t="str">
        <f t="shared" si="0"/>
        <v>R</v>
      </c>
      <c r="L45">
        <f t="shared" si="1"/>
        <v>21</v>
      </c>
      <c r="N45">
        <v>0.42348662035193302</v>
      </c>
      <c r="O45" t="str">
        <f t="shared" si="3"/>
        <v>R</v>
      </c>
      <c r="Q45">
        <f t="shared" si="2"/>
        <v>1</v>
      </c>
    </row>
    <row r="46" spans="1:17" ht="23.4" thickBot="1" x14ac:dyDescent="0.35">
      <c r="A46" s="1" t="s">
        <v>131</v>
      </c>
      <c r="B46" s="2" t="s">
        <v>31</v>
      </c>
      <c r="C46" s="2" t="s">
        <v>82</v>
      </c>
      <c r="D46" s="2"/>
      <c r="E46" s="2">
        <v>14</v>
      </c>
      <c r="F46" s="3" t="s">
        <v>46</v>
      </c>
      <c r="G46" s="4" t="s">
        <v>25</v>
      </c>
      <c r="H46" s="4"/>
      <c r="I46" s="4">
        <v>16</v>
      </c>
      <c r="K46" t="str">
        <f t="shared" si="0"/>
        <v>B</v>
      </c>
      <c r="L46">
        <f t="shared" si="1"/>
        <v>-2</v>
      </c>
      <c r="N46">
        <v>-0.64677732196509496</v>
      </c>
      <c r="O46" t="str">
        <f t="shared" si="3"/>
        <v>B</v>
      </c>
      <c r="Q46">
        <f t="shared" si="2"/>
        <v>1</v>
      </c>
    </row>
    <row r="47" spans="1:17" ht="23.4" thickBot="1" x14ac:dyDescent="0.35">
      <c r="A47" s="1" t="s">
        <v>132</v>
      </c>
      <c r="B47" s="5" t="s">
        <v>107</v>
      </c>
      <c r="C47" s="5" t="s">
        <v>22</v>
      </c>
      <c r="D47" s="5"/>
      <c r="E47" s="5">
        <v>26</v>
      </c>
      <c r="F47" s="6" t="s">
        <v>40</v>
      </c>
      <c r="G47" s="2" t="s">
        <v>81</v>
      </c>
      <c r="H47" s="2"/>
      <c r="I47" s="2">
        <v>24</v>
      </c>
      <c r="K47" t="str">
        <f t="shared" si="0"/>
        <v>R</v>
      </c>
      <c r="L47">
        <f t="shared" si="1"/>
        <v>2</v>
      </c>
      <c r="N47">
        <v>-0.343785615237025</v>
      </c>
      <c r="O47" t="str">
        <f t="shared" si="3"/>
        <v>B</v>
      </c>
      <c r="Q47">
        <f t="shared" si="2"/>
        <v>0</v>
      </c>
    </row>
    <row r="48" spans="1:17" ht="23.4" thickBot="1" x14ac:dyDescent="0.35">
      <c r="A48" s="1" t="s">
        <v>133</v>
      </c>
      <c r="B48" s="5" t="s">
        <v>32</v>
      </c>
      <c r="C48" s="5" t="s">
        <v>86</v>
      </c>
      <c r="D48" s="5"/>
      <c r="E48" s="5">
        <v>39</v>
      </c>
      <c r="F48" s="6" t="s">
        <v>96</v>
      </c>
      <c r="G48" s="2" t="s">
        <v>28</v>
      </c>
      <c r="H48" s="2"/>
      <c r="I48" s="2">
        <v>28</v>
      </c>
      <c r="K48" t="str">
        <f t="shared" si="0"/>
        <v>R</v>
      </c>
      <c r="L48">
        <f t="shared" si="1"/>
        <v>11</v>
      </c>
      <c r="N48">
        <v>-0.33808718744018401</v>
      </c>
      <c r="O48" t="str">
        <f t="shared" si="3"/>
        <v>B</v>
      </c>
      <c r="Q48">
        <f t="shared" si="2"/>
        <v>0</v>
      </c>
    </row>
    <row r="49" spans="1:17" ht="23.4" thickBot="1" x14ac:dyDescent="0.35">
      <c r="A49" s="1" t="s">
        <v>134</v>
      </c>
      <c r="B49" s="2" t="s">
        <v>7</v>
      </c>
      <c r="C49" s="2" t="s">
        <v>45</v>
      </c>
      <c r="D49" s="2"/>
      <c r="E49" s="2">
        <v>34</v>
      </c>
      <c r="F49" s="3" t="s">
        <v>75</v>
      </c>
      <c r="G49" s="4" t="s">
        <v>20</v>
      </c>
      <c r="H49" s="4"/>
      <c r="I49" s="4">
        <v>39</v>
      </c>
      <c r="K49" t="str">
        <f t="shared" si="0"/>
        <v>B</v>
      </c>
      <c r="L49">
        <f t="shared" si="1"/>
        <v>-5</v>
      </c>
      <c r="N49">
        <v>-0.57676170456476505</v>
      </c>
      <c r="O49" t="str">
        <f t="shared" si="3"/>
        <v>B</v>
      </c>
      <c r="Q49">
        <f t="shared" si="2"/>
        <v>1</v>
      </c>
    </row>
    <row r="50" spans="1:17" ht="23.4" thickBot="1" x14ac:dyDescent="0.35">
      <c r="A50" s="1" t="s">
        <v>135</v>
      </c>
      <c r="B50" s="5" t="s">
        <v>38</v>
      </c>
      <c r="C50" s="5" t="s">
        <v>67</v>
      </c>
      <c r="D50" s="5"/>
      <c r="E50" s="5">
        <v>43</v>
      </c>
      <c r="F50" s="6" t="s">
        <v>90</v>
      </c>
      <c r="G50" s="2" t="s">
        <v>47</v>
      </c>
      <c r="H50" s="2"/>
      <c r="I50" s="2">
        <v>28</v>
      </c>
      <c r="K50" t="str">
        <f t="shared" si="0"/>
        <v>R</v>
      </c>
      <c r="L50">
        <f t="shared" si="1"/>
        <v>15</v>
      </c>
      <c r="N50">
        <v>0.77578717139750697</v>
      </c>
      <c r="O50" t="str">
        <f t="shared" si="3"/>
        <v>R</v>
      </c>
      <c r="Q50">
        <f t="shared" si="2"/>
        <v>1</v>
      </c>
    </row>
    <row r="51" spans="1:17" ht="23.4" thickBot="1" x14ac:dyDescent="0.35">
      <c r="A51" s="1" t="s">
        <v>136</v>
      </c>
      <c r="B51" s="2" t="s">
        <v>70</v>
      </c>
      <c r="C51" s="2" t="s">
        <v>16</v>
      </c>
      <c r="D51" s="2"/>
      <c r="E51" s="2">
        <v>28</v>
      </c>
      <c r="F51" s="3" t="s">
        <v>80</v>
      </c>
      <c r="G51" s="4" t="s">
        <v>42</v>
      </c>
      <c r="H51" s="4"/>
      <c r="I51" s="4">
        <v>39</v>
      </c>
      <c r="K51" t="str">
        <f t="shared" si="0"/>
        <v>B</v>
      </c>
      <c r="L51">
        <f t="shared" si="1"/>
        <v>-11</v>
      </c>
      <c r="N51">
        <v>-0.71969710255158303</v>
      </c>
      <c r="O51" t="str">
        <f t="shared" si="3"/>
        <v>B</v>
      </c>
      <c r="Q51">
        <f t="shared" si="2"/>
        <v>1</v>
      </c>
    </row>
    <row r="52" spans="1:17" ht="23.4" thickBot="1" x14ac:dyDescent="0.35">
      <c r="A52" s="1" t="s">
        <v>137</v>
      </c>
      <c r="B52" s="2" t="s">
        <v>87</v>
      </c>
      <c r="C52" s="2" t="s">
        <v>92</v>
      </c>
      <c r="D52" s="2"/>
      <c r="E52" s="2">
        <v>22</v>
      </c>
      <c r="F52" s="3" t="s">
        <v>17</v>
      </c>
      <c r="G52" s="4" t="s">
        <v>53</v>
      </c>
      <c r="H52" s="4"/>
      <c r="I52" s="4">
        <v>35</v>
      </c>
      <c r="K52" t="str">
        <f t="shared" si="0"/>
        <v>B</v>
      </c>
      <c r="L52">
        <f t="shared" si="1"/>
        <v>-13</v>
      </c>
      <c r="N52">
        <v>0.82786742974083904</v>
      </c>
      <c r="O52" t="str">
        <f t="shared" si="3"/>
        <v>R</v>
      </c>
      <c r="Q52">
        <f t="shared" si="2"/>
        <v>0</v>
      </c>
    </row>
    <row r="53" spans="1:17" ht="23.4" thickBot="1" x14ac:dyDescent="0.35">
      <c r="A53" s="1" t="s">
        <v>138</v>
      </c>
      <c r="B53" s="5" t="s">
        <v>97</v>
      </c>
      <c r="C53" s="5" t="s">
        <v>10</v>
      </c>
      <c r="D53" s="5"/>
      <c r="E53" s="5">
        <v>33</v>
      </c>
      <c r="F53" s="6" t="s">
        <v>18</v>
      </c>
      <c r="G53" s="2" t="s">
        <v>21</v>
      </c>
      <c r="H53" s="2"/>
      <c r="I53" s="2">
        <v>25</v>
      </c>
      <c r="K53" t="str">
        <f t="shared" si="0"/>
        <v>R</v>
      </c>
      <c r="L53">
        <f t="shared" si="1"/>
        <v>8</v>
      </c>
      <c r="N53">
        <v>-0.35163427535067299</v>
      </c>
      <c r="O53" t="str">
        <f t="shared" si="3"/>
        <v>B</v>
      </c>
      <c r="Q53">
        <f t="shared" si="2"/>
        <v>0</v>
      </c>
    </row>
    <row r="54" spans="1:17" ht="23.4" thickBot="1" x14ac:dyDescent="0.35">
      <c r="A54" s="1" t="s">
        <v>139</v>
      </c>
      <c r="B54" s="5" t="s">
        <v>48</v>
      </c>
      <c r="C54" s="5" t="s">
        <v>83</v>
      </c>
      <c r="D54" s="5"/>
      <c r="E54" s="5">
        <v>36</v>
      </c>
      <c r="F54" s="6" t="s">
        <v>26</v>
      </c>
      <c r="G54" s="2" t="s">
        <v>91</v>
      </c>
      <c r="H54" s="2"/>
      <c r="I54" s="2">
        <v>24</v>
      </c>
      <c r="K54" t="str">
        <f t="shared" si="0"/>
        <v>R</v>
      </c>
      <c r="L54">
        <f t="shared" si="1"/>
        <v>12</v>
      </c>
      <c r="N54">
        <v>-7.2500206760513802E-2</v>
      </c>
      <c r="O54" t="str">
        <f t="shared" si="3"/>
        <v>B</v>
      </c>
      <c r="Q54">
        <f t="shared" si="2"/>
        <v>0</v>
      </c>
    </row>
    <row r="55" spans="1:17" ht="23.4" thickBot="1" x14ac:dyDescent="0.35">
      <c r="A55" s="1" t="s">
        <v>140</v>
      </c>
      <c r="B55" s="2" t="s">
        <v>12</v>
      </c>
      <c r="C55" s="2" t="s">
        <v>72</v>
      </c>
      <c r="D55" s="2"/>
      <c r="E55" s="2">
        <v>32</v>
      </c>
      <c r="F55" s="3" t="s">
        <v>100</v>
      </c>
      <c r="G55" s="4" t="s">
        <v>56</v>
      </c>
      <c r="H55" s="4"/>
      <c r="I55" s="4">
        <v>35</v>
      </c>
      <c r="K55" t="str">
        <f t="shared" si="0"/>
        <v>B</v>
      </c>
      <c r="L55">
        <f t="shared" si="1"/>
        <v>-3</v>
      </c>
      <c r="N55">
        <v>-0.75220250306235203</v>
      </c>
      <c r="O55" t="str">
        <f t="shared" si="3"/>
        <v>B</v>
      </c>
      <c r="Q55">
        <f t="shared" si="2"/>
        <v>1</v>
      </c>
    </row>
    <row r="56" spans="1:17" ht="23.4" thickBot="1" x14ac:dyDescent="0.35">
      <c r="A56" s="1" t="s">
        <v>141</v>
      </c>
      <c r="B56" s="5" t="s">
        <v>68</v>
      </c>
      <c r="C56" s="5" t="s">
        <v>27</v>
      </c>
      <c r="D56" s="5"/>
      <c r="E56" s="5">
        <v>32</v>
      </c>
      <c r="F56" s="6" t="s">
        <v>35</v>
      </c>
      <c r="G56" s="2" t="s">
        <v>15</v>
      </c>
      <c r="H56" s="2"/>
      <c r="I56" s="2">
        <v>31</v>
      </c>
      <c r="K56" t="str">
        <f t="shared" si="0"/>
        <v>R</v>
      </c>
      <c r="L56">
        <f t="shared" si="1"/>
        <v>1</v>
      </c>
      <c r="N56">
        <v>-9.0810518377892804E-3</v>
      </c>
      <c r="O56" t="str">
        <f t="shared" si="3"/>
        <v>B</v>
      </c>
      <c r="Q56">
        <f t="shared" si="2"/>
        <v>0</v>
      </c>
    </row>
    <row r="57" spans="1:17" ht="23.4" thickBot="1" x14ac:dyDescent="0.35">
      <c r="A57" s="1" t="s">
        <v>142</v>
      </c>
      <c r="B57" s="5" t="s">
        <v>33</v>
      </c>
      <c r="C57" s="5" t="s">
        <v>102</v>
      </c>
      <c r="D57" s="5"/>
      <c r="E57" s="5">
        <v>39</v>
      </c>
      <c r="F57" s="6" t="s">
        <v>6</v>
      </c>
      <c r="G57" s="2" t="s">
        <v>36</v>
      </c>
      <c r="H57" s="2"/>
      <c r="I57" s="2">
        <v>25</v>
      </c>
      <c r="K57" t="str">
        <f t="shared" si="0"/>
        <v>R</v>
      </c>
      <c r="L57">
        <f t="shared" si="1"/>
        <v>14</v>
      </c>
      <c r="N57">
        <v>0.65887133330732195</v>
      </c>
      <c r="O57" t="str">
        <f t="shared" si="3"/>
        <v>R</v>
      </c>
      <c r="Q57">
        <f t="shared" si="2"/>
        <v>1</v>
      </c>
    </row>
    <row r="58" spans="1:17" ht="23.4" thickBot="1" x14ac:dyDescent="0.35">
      <c r="A58" s="1" t="s">
        <v>143</v>
      </c>
      <c r="B58" s="5" t="s">
        <v>30</v>
      </c>
      <c r="C58" s="5" t="s">
        <v>50</v>
      </c>
      <c r="D58" s="5"/>
      <c r="E58" s="5">
        <v>38</v>
      </c>
      <c r="F58" s="6" t="s">
        <v>71</v>
      </c>
      <c r="G58" s="2" t="s">
        <v>98</v>
      </c>
      <c r="H58" s="2"/>
      <c r="I58" s="2">
        <v>21</v>
      </c>
      <c r="K58" t="str">
        <f t="shared" si="0"/>
        <v>R</v>
      </c>
      <c r="L58">
        <f t="shared" si="1"/>
        <v>17</v>
      </c>
      <c r="N58">
        <v>0.25151226308354402</v>
      </c>
      <c r="O58" t="str">
        <f t="shared" si="3"/>
        <v>R</v>
      </c>
      <c r="Q58">
        <f t="shared" si="2"/>
        <v>1</v>
      </c>
    </row>
    <row r="59" spans="1:17" ht="23.4" thickBot="1" x14ac:dyDescent="0.35">
      <c r="A59" s="1" t="s">
        <v>144</v>
      </c>
      <c r="B59" s="5" t="s">
        <v>37</v>
      </c>
      <c r="C59" s="5" t="s">
        <v>61</v>
      </c>
      <c r="D59" s="5"/>
      <c r="E59" s="5">
        <v>45</v>
      </c>
      <c r="F59" s="6" t="s">
        <v>66</v>
      </c>
      <c r="G59" s="2" t="s">
        <v>58</v>
      </c>
      <c r="H59" s="2"/>
      <c r="I59" s="2">
        <v>4</v>
      </c>
      <c r="K59" t="str">
        <f t="shared" si="0"/>
        <v>R</v>
      </c>
      <c r="L59">
        <f t="shared" si="1"/>
        <v>41</v>
      </c>
      <c r="N59">
        <v>2.0269420660111499</v>
      </c>
      <c r="O59" t="str">
        <f t="shared" si="3"/>
        <v>R</v>
      </c>
      <c r="Q59">
        <f t="shared" si="2"/>
        <v>1</v>
      </c>
    </row>
    <row r="60" spans="1:17" ht="23.4" thickBot="1" x14ac:dyDescent="0.35">
      <c r="A60" s="1" t="s">
        <v>145</v>
      </c>
      <c r="B60" s="5" t="s">
        <v>43</v>
      </c>
      <c r="C60" s="5" t="s">
        <v>23</v>
      </c>
      <c r="D60" s="5"/>
      <c r="E60" s="5">
        <v>46</v>
      </c>
      <c r="F60" s="6" t="s">
        <v>55</v>
      </c>
      <c r="G60" s="2" t="s">
        <v>105</v>
      </c>
      <c r="H60" s="2"/>
      <c r="I60" s="2">
        <v>23</v>
      </c>
      <c r="K60" t="str">
        <f t="shared" si="0"/>
        <v>R</v>
      </c>
      <c r="L60">
        <f t="shared" si="1"/>
        <v>23</v>
      </c>
      <c r="N60">
        <v>0.20354674383573301</v>
      </c>
      <c r="O60" t="str">
        <f t="shared" si="3"/>
        <v>R</v>
      </c>
      <c r="Q60">
        <f t="shared" si="2"/>
        <v>1</v>
      </c>
    </row>
    <row r="61" spans="1:17" ht="23.4" thickBot="1" x14ac:dyDescent="0.35">
      <c r="A61" s="1" t="s">
        <v>146</v>
      </c>
      <c r="B61" s="5" t="s">
        <v>93</v>
      </c>
      <c r="C61" s="5" t="s">
        <v>63</v>
      </c>
      <c r="D61" s="5"/>
      <c r="E61" s="5">
        <v>40</v>
      </c>
      <c r="F61" s="6" t="s">
        <v>8</v>
      </c>
      <c r="G61" s="2" t="s">
        <v>73</v>
      </c>
      <c r="H61" s="2"/>
      <c r="I61" s="2">
        <v>24</v>
      </c>
      <c r="K61" t="str">
        <f t="shared" si="0"/>
        <v>R</v>
      </c>
      <c r="L61">
        <f t="shared" si="1"/>
        <v>16</v>
      </c>
      <c r="N61">
        <v>1.4495940640008901E-2</v>
      </c>
      <c r="O61" t="str">
        <f t="shared" si="3"/>
        <v>R</v>
      </c>
      <c r="Q61">
        <f t="shared" si="2"/>
        <v>1</v>
      </c>
    </row>
    <row r="62" spans="1:17" ht="23.4" thickBot="1" x14ac:dyDescent="0.35">
      <c r="A62" s="1" t="s">
        <v>147</v>
      </c>
      <c r="B62" s="5" t="s">
        <v>57</v>
      </c>
      <c r="C62" s="5" t="s">
        <v>78</v>
      </c>
      <c r="D62" s="5"/>
      <c r="E62" s="5">
        <v>56</v>
      </c>
      <c r="F62" s="6" t="s">
        <v>95</v>
      </c>
      <c r="G62" s="2" t="s">
        <v>60</v>
      </c>
      <c r="H62" s="2"/>
      <c r="I62" s="2">
        <v>14</v>
      </c>
      <c r="K62" t="str">
        <f t="shared" si="0"/>
        <v>R</v>
      </c>
      <c r="L62">
        <f t="shared" si="1"/>
        <v>42</v>
      </c>
      <c r="N62">
        <v>1.36485778011959</v>
      </c>
      <c r="O62" t="str">
        <f t="shared" si="3"/>
        <v>R</v>
      </c>
      <c r="Q62">
        <f t="shared" si="2"/>
        <v>1</v>
      </c>
    </row>
    <row r="63" spans="1:17" ht="23.4" thickBot="1" x14ac:dyDescent="0.35">
      <c r="A63" s="1" t="s">
        <v>148</v>
      </c>
      <c r="B63" s="2" t="s">
        <v>65</v>
      </c>
      <c r="C63" s="2" t="s">
        <v>88</v>
      </c>
      <c r="D63" s="2"/>
      <c r="E63" s="2">
        <v>17</v>
      </c>
      <c r="F63" s="3" t="s">
        <v>11</v>
      </c>
      <c r="G63" s="4" t="s">
        <v>103</v>
      </c>
      <c r="H63" s="4"/>
      <c r="I63" s="4">
        <v>31</v>
      </c>
      <c r="K63" t="str">
        <f t="shared" si="0"/>
        <v>B</v>
      </c>
      <c r="L63">
        <f t="shared" si="1"/>
        <v>-14</v>
      </c>
      <c r="N63">
        <v>-0.36861956115786298</v>
      </c>
      <c r="O63" t="str">
        <f t="shared" si="3"/>
        <v>B</v>
      </c>
      <c r="Q63">
        <f t="shared" si="2"/>
        <v>1</v>
      </c>
    </row>
    <row r="64" spans="1:17" ht="23.4" thickBot="1" x14ac:dyDescent="0.35">
      <c r="A64" s="1" t="s">
        <v>149</v>
      </c>
      <c r="B64" s="2" t="s">
        <v>77</v>
      </c>
      <c r="C64" s="2" t="s">
        <v>42</v>
      </c>
      <c r="D64" s="2"/>
      <c r="E64" s="2">
        <v>21</v>
      </c>
      <c r="F64" s="3" t="s">
        <v>20</v>
      </c>
      <c r="G64" s="4" t="s">
        <v>96</v>
      </c>
      <c r="H64" s="4"/>
      <c r="I64" s="4">
        <v>38</v>
      </c>
      <c r="K64" t="str">
        <f t="shared" si="0"/>
        <v>B</v>
      </c>
      <c r="L64">
        <f t="shared" si="1"/>
        <v>-17</v>
      </c>
      <c r="N64">
        <v>-1.0264411947154</v>
      </c>
      <c r="O64" t="str">
        <f t="shared" si="3"/>
        <v>B</v>
      </c>
      <c r="Q64">
        <f t="shared" si="2"/>
        <v>1</v>
      </c>
    </row>
    <row r="65" spans="1:17" ht="23.4" thickBot="1" x14ac:dyDescent="0.35">
      <c r="A65" s="1" t="s">
        <v>150</v>
      </c>
      <c r="B65" s="2" t="s">
        <v>75</v>
      </c>
      <c r="C65" s="2" t="s">
        <v>40</v>
      </c>
      <c r="D65" s="2"/>
      <c r="E65" s="2">
        <v>14</v>
      </c>
      <c r="F65" s="3" t="s">
        <v>70</v>
      </c>
      <c r="G65" s="4" t="s">
        <v>67</v>
      </c>
      <c r="H65" s="4"/>
      <c r="I65" s="4">
        <v>32</v>
      </c>
      <c r="K65" t="str">
        <f t="shared" si="0"/>
        <v>B</v>
      </c>
      <c r="L65">
        <f t="shared" ref="L65:L81" si="4">E65-I65</f>
        <v>-18</v>
      </c>
      <c r="N65">
        <v>-6.7800662774126996E-2</v>
      </c>
      <c r="O65" t="str">
        <f t="shared" si="3"/>
        <v>B</v>
      </c>
      <c r="Q65">
        <f t="shared" si="2"/>
        <v>1</v>
      </c>
    </row>
    <row r="66" spans="1:17" ht="23.4" thickBot="1" x14ac:dyDescent="0.35">
      <c r="A66" s="1" t="s">
        <v>151</v>
      </c>
      <c r="B66" s="2" t="s">
        <v>85</v>
      </c>
      <c r="C66" s="2" t="s">
        <v>81</v>
      </c>
      <c r="D66" s="2"/>
      <c r="E66" s="2">
        <v>36</v>
      </c>
      <c r="F66" s="3" t="s">
        <v>27</v>
      </c>
      <c r="G66" s="4" t="s">
        <v>101</v>
      </c>
      <c r="H66" s="4"/>
      <c r="I66" s="4">
        <v>44</v>
      </c>
      <c r="K66" t="str">
        <f t="shared" ref="K66:K81" si="5">IF(E66&gt;I66,"R",IF(E66=I66,"D","B"))</f>
        <v>B</v>
      </c>
      <c r="L66">
        <f t="shared" si="4"/>
        <v>-8</v>
      </c>
      <c r="N66">
        <v>-0.30802847241377601</v>
      </c>
      <c r="O66" t="str">
        <f t="shared" ref="O66:O81" si="6">IF(N66&lt;0,"B","R")</f>
        <v>B</v>
      </c>
      <c r="Q66">
        <f t="shared" ref="Q66:Q81" si="7">IF(K66=O66,1,0)</f>
        <v>1</v>
      </c>
    </row>
    <row r="67" spans="1:17" ht="23.4" thickBot="1" x14ac:dyDescent="0.35">
      <c r="A67" s="1" t="s">
        <v>152</v>
      </c>
      <c r="B67" s="2" t="s">
        <v>35</v>
      </c>
      <c r="C67" s="2" t="s">
        <v>52</v>
      </c>
      <c r="D67" s="2"/>
      <c r="E67" s="2">
        <v>17</v>
      </c>
      <c r="F67" s="3" t="s">
        <v>22</v>
      </c>
      <c r="G67" s="4" t="s">
        <v>56</v>
      </c>
      <c r="H67" s="4"/>
      <c r="I67" s="4">
        <v>31</v>
      </c>
      <c r="K67" t="str">
        <f t="shared" si="5"/>
        <v>B</v>
      </c>
      <c r="L67">
        <f t="shared" si="4"/>
        <v>-14</v>
      </c>
      <c r="N67">
        <v>-0.79946661849851697</v>
      </c>
      <c r="O67" t="str">
        <f t="shared" si="6"/>
        <v>B</v>
      </c>
      <c r="Q67">
        <f t="shared" si="7"/>
        <v>1</v>
      </c>
    </row>
    <row r="68" spans="1:17" ht="23.4" thickBot="1" x14ac:dyDescent="0.35">
      <c r="A68" s="1" t="s">
        <v>153</v>
      </c>
      <c r="B68" s="2" t="s">
        <v>6</v>
      </c>
      <c r="C68" s="2" t="s">
        <v>62</v>
      </c>
      <c r="D68" s="2"/>
      <c r="E68" s="2">
        <v>26</v>
      </c>
      <c r="F68" s="3" t="s">
        <v>107</v>
      </c>
      <c r="G68" s="4" t="s">
        <v>83</v>
      </c>
      <c r="H68" s="4"/>
      <c r="I68" s="4">
        <v>48</v>
      </c>
      <c r="K68" t="str">
        <f t="shared" si="5"/>
        <v>B</v>
      </c>
      <c r="L68">
        <f t="shared" si="4"/>
        <v>-22</v>
      </c>
      <c r="N68">
        <v>-1.1019893255102899</v>
      </c>
      <c r="O68" t="str">
        <f t="shared" si="6"/>
        <v>B</v>
      </c>
      <c r="Q68">
        <f t="shared" si="7"/>
        <v>1</v>
      </c>
    </row>
    <row r="69" spans="1:17" ht="23.4" thickBot="1" x14ac:dyDescent="0.35">
      <c r="A69" s="1" t="s">
        <v>154</v>
      </c>
      <c r="B69" s="2" t="s">
        <v>58</v>
      </c>
      <c r="C69" s="2" t="s">
        <v>68</v>
      </c>
      <c r="D69" s="2"/>
      <c r="E69" s="2">
        <v>18</v>
      </c>
      <c r="F69" s="3" t="s">
        <v>16</v>
      </c>
      <c r="G69" s="4" t="s">
        <v>5</v>
      </c>
      <c r="H69" s="4"/>
      <c r="I69" s="4">
        <v>21</v>
      </c>
      <c r="K69" t="str">
        <f t="shared" si="5"/>
        <v>B</v>
      </c>
      <c r="L69">
        <f t="shared" si="4"/>
        <v>-3</v>
      </c>
      <c r="N69">
        <v>-0.121528979249486</v>
      </c>
      <c r="O69" t="str">
        <f t="shared" si="6"/>
        <v>B</v>
      </c>
      <c r="Q69">
        <f t="shared" si="7"/>
        <v>1</v>
      </c>
    </row>
    <row r="70" spans="1:17" ht="23.4" thickBot="1" x14ac:dyDescent="0.35">
      <c r="A70" s="1" t="s">
        <v>155</v>
      </c>
      <c r="B70" s="5" t="s">
        <v>55</v>
      </c>
      <c r="C70" s="5" t="s">
        <v>76</v>
      </c>
      <c r="D70" s="5"/>
      <c r="E70" s="5">
        <v>40</v>
      </c>
      <c r="F70" s="6" t="s">
        <v>97</v>
      </c>
      <c r="G70" s="2" t="s">
        <v>45</v>
      </c>
      <c r="H70" s="2"/>
      <c r="I70" s="2">
        <v>18</v>
      </c>
      <c r="K70" t="str">
        <f t="shared" si="5"/>
        <v>R</v>
      </c>
      <c r="L70">
        <f t="shared" si="4"/>
        <v>22</v>
      </c>
      <c r="N70">
        <v>-0.44777763657905101</v>
      </c>
      <c r="O70" t="str">
        <f t="shared" si="6"/>
        <v>B</v>
      </c>
      <c r="Q70">
        <f t="shared" si="7"/>
        <v>0</v>
      </c>
    </row>
    <row r="71" spans="1:17" ht="23.4" thickBot="1" x14ac:dyDescent="0.35">
      <c r="A71" s="1" t="s">
        <v>156</v>
      </c>
      <c r="B71" s="5" t="s">
        <v>8</v>
      </c>
      <c r="C71" s="5" t="s">
        <v>38</v>
      </c>
      <c r="D71" s="5"/>
      <c r="E71" s="5">
        <v>31</v>
      </c>
      <c r="F71" s="6" t="s">
        <v>28</v>
      </c>
      <c r="G71" s="2" t="s">
        <v>51</v>
      </c>
      <c r="H71" s="2"/>
      <c r="I71" s="2">
        <v>27</v>
      </c>
      <c r="K71" t="str">
        <f t="shared" si="5"/>
        <v>R</v>
      </c>
      <c r="L71">
        <f t="shared" si="4"/>
        <v>4</v>
      </c>
      <c r="N71">
        <v>-0.39811014538818101</v>
      </c>
      <c r="O71" t="str">
        <f t="shared" si="6"/>
        <v>B</v>
      </c>
      <c r="Q71">
        <f t="shared" si="7"/>
        <v>0</v>
      </c>
    </row>
    <row r="72" spans="1:17" ht="23.4" thickBot="1" x14ac:dyDescent="0.35">
      <c r="A72" s="1" t="s">
        <v>157</v>
      </c>
      <c r="B72" s="2" t="s">
        <v>46</v>
      </c>
      <c r="C72" s="2" t="s">
        <v>106</v>
      </c>
      <c r="D72" s="2"/>
      <c r="E72" s="2">
        <v>23</v>
      </c>
      <c r="F72" s="3" t="s">
        <v>61</v>
      </c>
      <c r="G72" s="4" t="s">
        <v>78</v>
      </c>
      <c r="H72" s="4"/>
      <c r="I72" s="4">
        <v>45</v>
      </c>
      <c r="K72" t="str">
        <f t="shared" si="5"/>
        <v>B</v>
      </c>
      <c r="L72">
        <f t="shared" si="4"/>
        <v>-22</v>
      </c>
      <c r="N72">
        <v>-1.0756208542199099</v>
      </c>
      <c r="O72" t="str">
        <f t="shared" si="6"/>
        <v>B</v>
      </c>
      <c r="Q72">
        <f t="shared" si="7"/>
        <v>1</v>
      </c>
    </row>
    <row r="73" spans="1:17" ht="23.4" thickBot="1" x14ac:dyDescent="0.35">
      <c r="A73" s="1" t="s">
        <v>158</v>
      </c>
      <c r="B73" s="5" t="s">
        <v>37</v>
      </c>
      <c r="C73" s="5" t="s">
        <v>92</v>
      </c>
      <c r="D73" s="5"/>
      <c r="E73" s="5">
        <v>28</v>
      </c>
      <c r="F73" s="6" t="s">
        <v>23</v>
      </c>
      <c r="G73" s="2" t="s">
        <v>50</v>
      </c>
      <c r="H73" s="2"/>
      <c r="I73" s="2">
        <v>19</v>
      </c>
      <c r="K73" t="str">
        <f t="shared" si="5"/>
        <v>R</v>
      </c>
      <c r="L73">
        <f t="shared" si="4"/>
        <v>9</v>
      </c>
      <c r="N73">
        <v>0.46095131100193898</v>
      </c>
      <c r="O73" t="str">
        <f t="shared" si="6"/>
        <v>R</v>
      </c>
      <c r="Q73">
        <f t="shared" si="7"/>
        <v>1</v>
      </c>
    </row>
    <row r="74" spans="1:17" ht="23.4" thickBot="1" x14ac:dyDescent="0.35">
      <c r="A74" s="1" t="s">
        <v>159</v>
      </c>
      <c r="B74" s="2" t="s">
        <v>88</v>
      </c>
      <c r="C74" s="2" t="s">
        <v>60</v>
      </c>
      <c r="D74" s="2"/>
      <c r="E74" s="2">
        <v>26</v>
      </c>
      <c r="F74" s="3" t="s">
        <v>102</v>
      </c>
      <c r="G74" s="4" t="s">
        <v>32</v>
      </c>
      <c r="H74" s="4"/>
      <c r="I74" s="4">
        <v>48</v>
      </c>
      <c r="K74" t="str">
        <f t="shared" si="5"/>
        <v>B</v>
      </c>
      <c r="L74">
        <f t="shared" si="4"/>
        <v>-22</v>
      </c>
      <c r="N74">
        <v>-1.64861411815617</v>
      </c>
      <c r="O74" t="str">
        <f t="shared" si="6"/>
        <v>B</v>
      </c>
      <c r="Q74">
        <f t="shared" si="7"/>
        <v>1</v>
      </c>
    </row>
    <row r="75" spans="1:17" ht="23.4" thickBot="1" x14ac:dyDescent="0.35">
      <c r="A75" s="1" t="s">
        <v>160</v>
      </c>
      <c r="B75" s="5" t="s">
        <v>41</v>
      </c>
      <c r="C75" s="5" t="s">
        <v>100</v>
      </c>
      <c r="D75" s="5"/>
      <c r="E75" s="5">
        <v>33</v>
      </c>
      <c r="F75" s="6" t="s">
        <v>33</v>
      </c>
      <c r="G75" s="2" t="s">
        <v>71</v>
      </c>
      <c r="H75" s="2"/>
      <c r="I75" s="2">
        <v>15</v>
      </c>
      <c r="K75" t="str">
        <f t="shared" si="5"/>
        <v>R</v>
      </c>
      <c r="L75">
        <f t="shared" si="4"/>
        <v>18</v>
      </c>
      <c r="N75">
        <v>0.16242046971298599</v>
      </c>
      <c r="O75" t="str">
        <f t="shared" si="6"/>
        <v>R</v>
      </c>
      <c r="Q75">
        <f t="shared" si="7"/>
        <v>1</v>
      </c>
    </row>
    <row r="76" spans="1:17" ht="23.4" thickBot="1" x14ac:dyDescent="0.35">
      <c r="A76" s="1" t="s">
        <v>161</v>
      </c>
      <c r="B76" s="5" t="s">
        <v>80</v>
      </c>
      <c r="C76" s="5" t="s">
        <v>90</v>
      </c>
      <c r="D76" s="5"/>
      <c r="E76" s="5">
        <v>26</v>
      </c>
      <c r="F76" s="6" t="s">
        <v>48</v>
      </c>
      <c r="G76" s="2" t="s">
        <v>65</v>
      </c>
      <c r="H76" s="2"/>
      <c r="I76" s="2">
        <v>23</v>
      </c>
      <c r="K76" t="str">
        <f t="shared" si="5"/>
        <v>R</v>
      </c>
      <c r="L76">
        <f t="shared" si="4"/>
        <v>3</v>
      </c>
      <c r="N76">
        <v>0.13521463701820699</v>
      </c>
      <c r="O76" t="str">
        <f t="shared" si="6"/>
        <v>R</v>
      </c>
      <c r="Q76">
        <f t="shared" si="7"/>
        <v>1</v>
      </c>
    </row>
    <row r="77" spans="1:17" ht="23.4" thickBot="1" x14ac:dyDescent="0.35">
      <c r="A77" s="1" t="s">
        <v>162</v>
      </c>
      <c r="B77" s="2" t="s">
        <v>53</v>
      </c>
      <c r="C77" s="2" t="s">
        <v>98</v>
      </c>
      <c r="D77" s="2"/>
      <c r="E77" s="2">
        <v>16</v>
      </c>
      <c r="F77" s="3" t="s">
        <v>18</v>
      </c>
      <c r="G77" s="4" t="s">
        <v>82</v>
      </c>
      <c r="H77" s="4"/>
      <c r="I77" s="4">
        <v>40</v>
      </c>
      <c r="K77" t="str">
        <f t="shared" si="5"/>
        <v>B</v>
      </c>
      <c r="L77">
        <f t="shared" si="4"/>
        <v>-24</v>
      </c>
      <c r="N77">
        <v>2.1973399894320501E-2</v>
      </c>
      <c r="O77" t="str">
        <f t="shared" si="6"/>
        <v>R</v>
      </c>
      <c r="Q77">
        <f t="shared" si="7"/>
        <v>0</v>
      </c>
    </row>
    <row r="78" spans="1:17" ht="23.4" thickBot="1" x14ac:dyDescent="0.35">
      <c r="A78" s="1" t="s">
        <v>163</v>
      </c>
      <c r="B78" s="5" t="s">
        <v>103</v>
      </c>
      <c r="C78" s="5" t="s">
        <v>105</v>
      </c>
      <c r="D78" s="5"/>
      <c r="E78" s="5">
        <v>32</v>
      </c>
      <c r="F78" s="6" t="s">
        <v>17</v>
      </c>
      <c r="G78" s="2" t="s">
        <v>12</v>
      </c>
      <c r="H78" s="2"/>
      <c r="I78" s="2">
        <v>19</v>
      </c>
      <c r="K78" t="str">
        <f t="shared" si="5"/>
        <v>R</v>
      </c>
      <c r="L78">
        <f t="shared" si="4"/>
        <v>13</v>
      </c>
      <c r="N78">
        <v>0.61388140557452497</v>
      </c>
      <c r="O78" t="str">
        <f t="shared" si="6"/>
        <v>R</v>
      </c>
      <c r="Q78">
        <f t="shared" si="7"/>
        <v>1</v>
      </c>
    </row>
    <row r="79" spans="1:17" ht="23.4" thickBot="1" x14ac:dyDescent="0.35">
      <c r="A79" s="1" t="s">
        <v>164</v>
      </c>
      <c r="B79" s="2" t="s">
        <v>47</v>
      </c>
      <c r="C79" s="2" t="s">
        <v>7</v>
      </c>
      <c r="D79" s="2"/>
      <c r="E79" s="2">
        <v>18</v>
      </c>
      <c r="F79" s="3" t="s">
        <v>30</v>
      </c>
      <c r="G79" s="4" t="s">
        <v>86</v>
      </c>
      <c r="H79" s="4"/>
      <c r="I79" s="4">
        <v>28</v>
      </c>
      <c r="K79" t="str">
        <f t="shared" si="5"/>
        <v>B</v>
      </c>
      <c r="L79">
        <f t="shared" si="4"/>
        <v>-10</v>
      </c>
      <c r="N79">
        <v>-0.262197240444493</v>
      </c>
      <c r="O79" t="str">
        <f t="shared" si="6"/>
        <v>B</v>
      </c>
      <c r="Q79">
        <f t="shared" si="7"/>
        <v>1</v>
      </c>
    </row>
    <row r="80" spans="1:17" ht="23.4" thickBot="1" x14ac:dyDescent="0.35">
      <c r="A80" s="1" t="s">
        <v>165</v>
      </c>
      <c r="B80" s="5" t="s">
        <v>87</v>
      </c>
      <c r="C80" s="5" t="s">
        <v>66</v>
      </c>
      <c r="D80" s="5"/>
      <c r="E80" s="5">
        <v>33</v>
      </c>
      <c r="F80" s="6" t="s">
        <v>91</v>
      </c>
      <c r="G80" s="2" t="s">
        <v>63</v>
      </c>
      <c r="H80" s="2"/>
      <c r="I80" s="2">
        <v>28</v>
      </c>
      <c r="K80" t="str">
        <f t="shared" si="5"/>
        <v>R</v>
      </c>
      <c r="L80">
        <f t="shared" si="4"/>
        <v>5</v>
      </c>
      <c r="N80">
        <v>-0.154361556324006</v>
      </c>
      <c r="O80" t="str">
        <f t="shared" si="6"/>
        <v>B</v>
      </c>
      <c r="Q80">
        <f t="shared" si="7"/>
        <v>0</v>
      </c>
    </row>
    <row r="81" spans="1:17" ht="23.4" thickBot="1" x14ac:dyDescent="0.35">
      <c r="A81" s="1" t="s">
        <v>166</v>
      </c>
      <c r="B81" s="11" t="s">
        <v>73</v>
      </c>
      <c r="C81" s="11" t="s">
        <v>57</v>
      </c>
      <c r="D81" s="11"/>
      <c r="E81" s="11">
        <v>40</v>
      </c>
      <c r="F81" s="6" t="s">
        <v>77</v>
      </c>
      <c r="G81" s="2" t="s">
        <v>11</v>
      </c>
      <c r="H81" s="2"/>
      <c r="I81" s="2">
        <v>22</v>
      </c>
      <c r="K81" t="str">
        <f t="shared" si="5"/>
        <v>R</v>
      </c>
      <c r="L81">
        <f t="shared" si="4"/>
        <v>18</v>
      </c>
      <c r="N81">
        <v>0.86250149358256201</v>
      </c>
      <c r="O81" t="str">
        <f t="shared" si="6"/>
        <v>R</v>
      </c>
      <c r="Q81">
        <f t="shared" si="7"/>
        <v>1</v>
      </c>
    </row>
    <row r="82" spans="1:17" ht="23.4" thickBot="1" x14ac:dyDescent="0.35">
      <c r="A82" s="1" t="s">
        <v>167</v>
      </c>
      <c r="B82" s="2" t="s">
        <v>13</v>
      </c>
      <c r="C82" s="2" t="s">
        <v>21</v>
      </c>
      <c r="D82" s="2"/>
      <c r="E82" s="2">
        <v>11</v>
      </c>
      <c r="F82" s="3" t="s">
        <v>15</v>
      </c>
      <c r="G82" s="4" t="s">
        <v>93</v>
      </c>
      <c r="H82" s="4"/>
      <c r="I82" s="4">
        <v>40</v>
      </c>
      <c r="K82" t="str">
        <f t="shared" ref="K82:K130" si="8">IF(E82&gt;I82,"R",IF(E82=I82,"D","B"))</f>
        <v>B</v>
      </c>
      <c r="L82">
        <f t="shared" ref="L82:L130" si="9">E82-I82</f>
        <v>-29</v>
      </c>
      <c r="N82" s="7">
        <v>-0.16636352587405301</v>
      </c>
      <c r="O82" t="str">
        <f>IF(N82&lt;0,"B","R")</f>
        <v>B</v>
      </c>
      <c r="Q82">
        <f t="shared" ref="Q82:Q130" si="10">IF(K82=O82,1,0)</f>
        <v>1</v>
      </c>
    </row>
    <row r="83" spans="1:17" ht="23.4" thickBot="1" x14ac:dyDescent="0.35">
      <c r="A83" s="1" t="s">
        <v>168</v>
      </c>
      <c r="B83" s="5" t="s">
        <v>26</v>
      </c>
      <c r="C83" s="5" t="s">
        <v>36</v>
      </c>
      <c r="D83" s="5"/>
      <c r="E83" s="5">
        <v>33</v>
      </c>
      <c r="F83" s="6" t="s">
        <v>31</v>
      </c>
      <c r="G83" s="2" t="s">
        <v>43</v>
      </c>
      <c r="H83" s="2"/>
      <c r="I83" s="2">
        <v>19</v>
      </c>
      <c r="K83" t="str">
        <f t="shared" si="8"/>
        <v>R</v>
      </c>
      <c r="L83">
        <f t="shared" si="9"/>
        <v>14</v>
      </c>
      <c r="N83" s="7">
        <v>1.36514188884773</v>
      </c>
      <c r="O83" t="str">
        <f t="shared" ref="O83:O130" si="11">IF(N83&lt;0,"B","R")</f>
        <v>R</v>
      </c>
      <c r="Q83">
        <f t="shared" si="10"/>
        <v>1</v>
      </c>
    </row>
    <row r="84" spans="1:17" ht="23.4" thickBot="1" x14ac:dyDescent="0.35">
      <c r="A84" s="1" t="s">
        <v>169</v>
      </c>
      <c r="B84" s="2" t="s">
        <v>10</v>
      </c>
      <c r="C84" s="2" t="s">
        <v>25</v>
      </c>
      <c r="D84" s="2"/>
      <c r="E84" s="2">
        <v>24</v>
      </c>
      <c r="F84" s="3" t="s">
        <v>72</v>
      </c>
      <c r="G84" s="4" t="s">
        <v>95</v>
      </c>
      <c r="H84" s="4"/>
      <c r="I84" s="4">
        <v>42</v>
      </c>
      <c r="K84" t="str">
        <f t="shared" si="8"/>
        <v>B</v>
      </c>
      <c r="L84">
        <f t="shared" si="9"/>
        <v>-18</v>
      </c>
      <c r="N84" s="7">
        <v>-0.41802127943714401</v>
      </c>
      <c r="O84" t="str">
        <f t="shared" si="11"/>
        <v>B</v>
      </c>
      <c r="Q84">
        <f t="shared" si="10"/>
        <v>1</v>
      </c>
    </row>
    <row r="85" spans="1:17" ht="23.4" thickBot="1" x14ac:dyDescent="0.35">
      <c r="A85" s="1" t="s">
        <v>170</v>
      </c>
      <c r="B85" s="5" t="s">
        <v>56</v>
      </c>
      <c r="C85" s="5" t="s">
        <v>102</v>
      </c>
      <c r="D85" s="5"/>
      <c r="E85" s="5">
        <v>17</v>
      </c>
      <c r="F85" s="6" t="s">
        <v>92</v>
      </c>
      <c r="G85" s="2" t="s">
        <v>27</v>
      </c>
      <c r="H85" s="2"/>
      <c r="I85" s="2">
        <v>9</v>
      </c>
      <c r="K85" t="str">
        <f t="shared" si="8"/>
        <v>R</v>
      </c>
      <c r="L85">
        <f t="shared" si="9"/>
        <v>8</v>
      </c>
      <c r="N85" s="7">
        <v>0.50529460680402805</v>
      </c>
      <c r="O85" t="str">
        <f t="shared" si="11"/>
        <v>R</v>
      </c>
      <c r="Q85">
        <f t="shared" si="10"/>
        <v>1</v>
      </c>
    </row>
    <row r="86" spans="1:17" ht="23.4" thickBot="1" x14ac:dyDescent="0.35">
      <c r="A86" s="1" t="s">
        <v>171</v>
      </c>
      <c r="B86" s="5" t="s">
        <v>32</v>
      </c>
      <c r="C86" s="5" t="s">
        <v>52</v>
      </c>
      <c r="D86" s="5"/>
      <c r="E86" s="5">
        <v>44</v>
      </c>
      <c r="F86" s="6" t="s">
        <v>90</v>
      </c>
      <c r="G86" s="2" t="s">
        <v>37</v>
      </c>
      <c r="H86" s="2"/>
      <c r="I86" s="2">
        <v>33</v>
      </c>
      <c r="K86" t="str">
        <f t="shared" si="8"/>
        <v>R</v>
      </c>
      <c r="L86">
        <f t="shared" si="9"/>
        <v>11</v>
      </c>
      <c r="N86" s="7">
        <v>-0.104604058294095</v>
      </c>
      <c r="O86" t="str">
        <f t="shared" si="11"/>
        <v>B</v>
      </c>
      <c r="Q86">
        <f t="shared" si="10"/>
        <v>0</v>
      </c>
    </row>
    <row r="87" spans="1:17" ht="23.4" thickBot="1" x14ac:dyDescent="0.35">
      <c r="A87" s="1" t="s">
        <v>172</v>
      </c>
      <c r="B87" s="5" t="s">
        <v>78</v>
      </c>
      <c r="C87" s="5" t="s">
        <v>101</v>
      </c>
      <c r="D87" s="5"/>
      <c r="E87" s="5">
        <v>41</v>
      </c>
      <c r="F87" s="6" t="s">
        <v>16</v>
      </c>
      <c r="G87" s="2" t="s">
        <v>6</v>
      </c>
      <c r="H87" s="2"/>
      <c r="I87" s="2">
        <v>22</v>
      </c>
      <c r="K87" t="str">
        <f t="shared" si="8"/>
        <v>R</v>
      </c>
      <c r="L87">
        <f t="shared" si="9"/>
        <v>19</v>
      </c>
      <c r="N87" s="7">
        <v>0.43787757119763798</v>
      </c>
      <c r="O87" t="str">
        <f t="shared" si="11"/>
        <v>R</v>
      </c>
      <c r="Q87">
        <f t="shared" si="10"/>
        <v>1</v>
      </c>
    </row>
    <row r="88" spans="1:17" ht="23.4" thickBot="1" x14ac:dyDescent="0.35">
      <c r="A88" s="1" t="s">
        <v>173</v>
      </c>
      <c r="B88" s="2" t="s">
        <v>50</v>
      </c>
      <c r="C88" s="2" t="s">
        <v>17</v>
      </c>
      <c r="D88" s="2"/>
      <c r="E88" s="2">
        <v>13</v>
      </c>
      <c r="F88" s="3" t="s">
        <v>58</v>
      </c>
      <c r="G88" s="4" t="s">
        <v>97</v>
      </c>
      <c r="H88" s="4"/>
      <c r="I88" s="4">
        <v>18</v>
      </c>
      <c r="K88" t="str">
        <f t="shared" si="8"/>
        <v>B</v>
      </c>
      <c r="L88">
        <f t="shared" si="9"/>
        <v>-5</v>
      </c>
      <c r="N88" s="7">
        <v>-0.22826770082137901</v>
      </c>
      <c r="O88" t="str">
        <f t="shared" si="11"/>
        <v>B</v>
      </c>
      <c r="Q88">
        <f t="shared" si="10"/>
        <v>1</v>
      </c>
    </row>
    <row r="89" spans="1:17" ht="23.4" thickBot="1" x14ac:dyDescent="0.35">
      <c r="A89" s="1" t="s">
        <v>174</v>
      </c>
      <c r="B89" s="2" t="s">
        <v>8</v>
      </c>
      <c r="C89" s="2" t="s">
        <v>45</v>
      </c>
      <c r="D89" s="2"/>
      <c r="E89" s="2">
        <v>9</v>
      </c>
      <c r="F89" s="3" t="s">
        <v>81</v>
      </c>
      <c r="G89" s="4" t="s">
        <v>65</v>
      </c>
      <c r="H89" s="4"/>
      <c r="I89" s="4">
        <v>35</v>
      </c>
      <c r="K89" t="str">
        <f t="shared" si="8"/>
        <v>B</v>
      </c>
      <c r="L89">
        <f t="shared" si="9"/>
        <v>-26</v>
      </c>
      <c r="N89" s="7">
        <v>-0.427246808114008</v>
      </c>
      <c r="O89" t="str">
        <f t="shared" si="11"/>
        <v>B</v>
      </c>
      <c r="Q89">
        <f t="shared" si="10"/>
        <v>1</v>
      </c>
    </row>
    <row r="90" spans="1:17" ht="23.4" thickBot="1" x14ac:dyDescent="0.35">
      <c r="A90" s="1" t="s">
        <v>175</v>
      </c>
      <c r="B90" s="2" t="s">
        <v>66</v>
      </c>
      <c r="C90" s="2" t="s">
        <v>71</v>
      </c>
      <c r="D90" s="2"/>
      <c r="E90" s="2">
        <v>13</v>
      </c>
      <c r="F90" s="3" t="s">
        <v>62</v>
      </c>
      <c r="G90" s="4" t="s">
        <v>105</v>
      </c>
      <c r="H90" s="4"/>
      <c r="I90" s="4">
        <v>31</v>
      </c>
      <c r="K90" t="str">
        <f t="shared" si="8"/>
        <v>B</v>
      </c>
      <c r="L90">
        <f t="shared" si="9"/>
        <v>-18</v>
      </c>
      <c r="N90" s="7">
        <v>0.11407244634776</v>
      </c>
      <c r="O90" t="str">
        <f t="shared" si="11"/>
        <v>R</v>
      </c>
      <c r="Q90">
        <f t="shared" si="10"/>
        <v>0</v>
      </c>
    </row>
    <row r="91" spans="1:17" ht="23.4" thickBot="1" x14ac:dyDescent="0.35">
      <c r="A91" s="1" t="s">
        <v>176</v>
      </c>
      <c r="B91" s="5" t="s">
        <v>61</v>
      </c>
      <c r="C91" s="5" t="s">
        <v>55</v>
      </c>
      <c r="D91" s="5"/>
      <c r="E91" s="5">
        <v>46</v>
      </c>
      <c r="F91" s="6" t="s">
        <v>7</v>
      </c>
      <c r="G91" s="2" t="s">
        <v>85</v>
      </c>
      <c r="H91" s="2"/>
      <c r="I91" s="2">
        <v>26</v>
      </c>
      <c r="K91" t="str">
        <f t="shared" si="8"/>
        <v>R</v>
      </c>
      <c r="L91">
        <f t="shared" si="9"/>
        <v>20</v>
      </c>
      <c r="N91" s="7">
        <v>0.99827672106492404</v>
      </c>
      <c r="O91" t="str">
        <f t="shared" si="11"/>
        <v>R</v>
      </c>
      <c r="Q91">
        <f t="shared" si="10"/>
        <v>1</v>
      </c>
    </row>
    <row r="92" spans="1:17" ht="23.4" thickBot="1" x14ac:dyDescent="0.35">
      <c r="A92" s="1" t="s">
        <v>177</v>
      </c>
      <c r="B92" s="2" t="s">
        <v>28</v>
      </c>
      <c r="C92" s="2" t="s">
        <v>80</v>
      </c>
      <c r="D92" s="2"/>
      <c r="E92" s="2">
        <v>11</v>
      </c>
      <c r="F92" s="3" t="s">
        <v>76</v>
      </c>
      <c r="G92" s="4" t="s">
        <v>21</v>
      </c>
      <c r="H92" s="4"/>
      <c r="I92" s="4">
        <v>27</v>
      </c>
      <c r="K92" t="str">
        <f t="shared" si="8"/>
        <v>B</v>
      </c>
      <c r="L92">
        <f t="shared" si="9"/>
        <v>-16</v>
      </c>
      <c r="N92" s="7">
        <v>0.61277950491074495</v>
      </c>
      <c r="O92" t="str">
        <f t="shared" si="11"/>
        <v>R</v>
      </c>
      <c r="Q92">
        <f t="shared" si="10"/>
        <v>0</v>
      </c>
    </row>
    <row r="93" spans="1:17" ht="23.4" thickBot="1" x14ac:dyDescent="0.35">
      <c r="A93" s="1" t="s">
        <v>178</v>
      </c>
      <c r="B93" s="5" t="s">
        <v>51</v>
      </c>
      <c r="C93" s="5" t="s">
        <v>100</v>
      </c>
      <c r="D93" s="5"/>
      <c r="E93" s="5">
        <v>46</v>
      </c>
      <c r="F93" s="6" t="s">
        <v>35</v>
      </c>
      <c r="G93" s="2" t="s">
        <v>77</v>
      </c>
      <c r="H93" s="2"/>
      <c r="I93" s="2">
        <v>22</v>
      </c>
      <c r="K93" t="str">
        <f t="shared" si="8"/>
        <v>R</v>
      </c>
      <c r="L93">
        <f t="shared" si="9"/>
        <v>24</v>
      </c>
      <c r="N93" s="7">
        <v>0.52995291339334105</v>
      </c>
      <c r="O93" t="str">
        <f t="shared" si="11"/>
        <v>R</v>
      </c>
      <c r="Q93">
        <f t="shared" si="10"/>
        <v>1</v>
      </c>
    </row>
    <row r="94" spans="1:17" ht="23.4" thickBot="1" x14ac:dyDescent="0.35">
      <c r="A94" s="1" t="s">
        <v>179</v>
      </c>
      <c r="B94" s="5" t="s">
        <v>40</v>
      </c>
      <c r="C94" s="5" t="s">
        <v>53</v>
      </c>
      <c r="D94" s="5"/>
      <c r="E94" s="5">
        <v>35</v>
      </c>
      <c r="F94" s="6" t="s">
        <v>10</v>
      </c>
      <c r="G94" s="2" t="s">
        <v>63</v>
      </c>
      <c r="H94" s="2"/>
      <c r="I94" s="2">
        <v>29</v>
      </c>
      <c r="K94" t="str">
        <f t="shared" si="8"/>
        <v>R</v>
      </c>
      <c r="L94">
        <f t="shared" si="9"/>
        <v>6</v>
      </c>
      <c r="N94" s="7">
        <v>0.480830882928728</v>
      </c>
      <c r="O94" t="str">
        <f t="shared" si="11"/>
        <v>R</v>
      </c>
      <c r="Q94">
        <f t="shared" si="10"/>
        <v>1</v>
      </c>
    </row>
    <row r="95" spans="1:17" ht="23.4" thickBot="1" x14ac:dyDescent="0.35">
      <c r="A95" s="1" t="s">
        <v>180</v>
      </c>
      <c r="B95" s="5" t="s">
        <v>18</v>
      </c>
      <c r="C95" s="5" t="s">
        <v>23</v>
      </c>
      <c r="D95" s="5"/>
      <c r="E95" s="5">
        <v>37</v>
      </c>
      <c r="F95" s="6" t="s">
        <v>93</v>
      </c>
      <c r="G95" s="2" t="s">
        <v>46</v>
      </c>
      <c r="H95" s="2"/>
      <c r="I95" s="2">
        <v>20</v>
      </c>
      <c r="K95" t="str">
        <f t="shared" si="8"/>
        <v>R</v>
      </c>
      <c r="L95">
        <f t="shared" si="9"/>
        <v>17</v>
      </c>
      <c r="N95" s="7">
        <v>0.69451870365881796</v>
      </c>
      <c r="O95" t="str">
        <f t="shared" si="11"/>
        <v>R</v>
      </c>
      <c r="Q95">
        <f t="shared" si="10"/>
        <v>1</v>
      </c>
    </row>
    <row r="96" spans="1:17" ht="23.4" thickBot="1" x14ac:dyDescent="0.35">
      <c r="A96" s="1" t="s">
        <v>181</v>
      </c>
      <c r="B96" s="2" t="s">
        <v>48</v>
      </c>
      <c r="C96" s="2" t="s">
        <v>13</v>
      </c>
      <c r="D96" s="2"/>
      <c r="E96" s="2">
        <v>31</v>
      </c>
      <c r="F96" s="3" t="s">
        <v>57</v>
      </c>
      <c r="G96" s="4" t="s">
        <v>36</v>
      </c>
      <c r="H96" s="4"/>
      <c r="I96" s="4">
        <v>32</v>
      </c>
      <c r="K96" t="str">
        <f t="shared" si="8"/>
        <v>B</v>
      </c>
      <c r="L96">
        <f t="shared" si="9"/>
        <v>-1</v>
      </c>
      <c r="N96" s="7">
        <v>0.28481650586753698</v>
      </c>
      <c r="O96" t="str">
        <f t="shared" si="11"/>
        <v>R</v>
      </c>
      <c r="Q96">
        <f t="shared" si="10"/>
        <v>0</v>
      </c>
    </row>
    <row r="97" spans="1:17" ht="23.4" thickBot="1" x14ac:dyDescent="0.35">
      <c r="A97" s="1" t="s">
        <v>182</v>
      </c>
      <c r="B97" s="5" t="s">
        <v>47</v>
      </c>
      <c r="C97" s="5" t="s">
        <v>25</v>
      </c>
      <c r="D97" s="5"/>
      <c r="E97" s="5">
        <v>37</v>
      </c>
      <c r="F97" s="6" t="s">
        <v>68</v>
      </c>
      <c r="G97" s="2" t="s">
        <v>11</v>
      </c>
      <c r="H97" s="2"/>
      <c r="I97" s="2">
        <v>26</v>
      </c>
      <c r="K97" t="str">
        <f t="shared" si="8"/>
        <v>R</v>
      </c>
      <c r="L97">
        <f t="shared" si="9"/>
        <v>11</v>
      </c>
      <c r="N97" s="7">
        <v>7.6087791593819603E-3</v>
      </c>
      <c r="O97" t="str">
        <f t="shared" si="11"/>
        <v>R</v>
      </c>
      <c r="Q97">
        <f t="shared" si="10"/>
        <v>1</v>
      </c>
    </row>
    <row r="98" spans="1:17" ht="23.4" thickBot="1" x14ac:dyDescent="0.35">
      <c r="A98" s="1" t="s">
        <v>183</v>
      </c>
      <c r="B98" s="5" t="s">
        <v>60</v>
      </c>
      <c r="C98" s="5" t="s">
        <v>83</v>
      </c>
      <c r="D98" s="5"/>
      <c r="E98" s="5">
        <v>38</v>
      </c>
      <c r="F98" s="6" t="s">
        <v>106</v>
      </c>
      <c r="G98" s="2" t="s">
        <v>98</v>
      </c>
      <c r="H98" s="2"/>
      <c r="I98" s="2">
        <v>31</v>
      </c>
      <c r="K98" t="str">
        <f t="shared" si="8"/>
        <v>R</v>
      </c>
      <c r="L98">
        <f t="shared" si="9"/>
        <v>7</v>
      </c>
      <c r="N98" s="7">
        <v>-0.38364016131740097</v>
      </c>
      <c r="O98" t="str">
        <f t="shared" si="11"/>
        <v>B</v>
      </c>
      <c r="Q98">
        <f t="shared" si="10"/>
        <v>0</v>
      </c>
    </row>
    <row r="99" spans="1:17" ht="23.4" thickBot="1" x14ac:dyDescent="0.35">
      <c r="A99" s="1" t="s">
        <v>184</v>
      </c>
      <c r="B99" s="2" t="s">
        <v>43</v>
      </c>
      <c r="C99" s="2" t="s">
        <v>5</v>
      </c>
      <c r="D99" s="2"/>
      <c r="E99" s="2">
        <v>0</v>
      </c>
      <c r="F99" s="3" t="s">
        <v>30</v>
      </c>
      <c r="G99" s="4" t="s">
        <v>96</v>
      </c>
      <c r="H99" s="4"/>
      <c r="I99" s="4">
        <v>34</v>
      </c>
      <c r="K99" t="str">
        <f t="shared" si="8"/>
        <v>B</v>
      </c>
      <c r="L99">
        <f t="shared" si="9"/>
        <v>-34</v>
      </c>
      <c r="N99" s="7">
        <v>-1.4505476472532299</v>
      </c>
      <c r="O99" t="str">
        <f t="shared" si="11"/>
        <v>B</v>
      </c>
      <c r="Q99">
        <f t="shared" si="10"/>
        <v>1</v>
      </c>
    </row>
    <row r="100" spans="1:17" ht="23.4" thickBot="1" x14ac:dyDescent="0.35">
      <c r="A100" s="1" t="s">
        <v>185</v>
      </c>
      <c r="B100" s="2" t="s">
        <v>82</v>
      </c>
      <c r="C100" s="2" t="s">
        <v>12</v>
      </c>
      <c r="D100" s="2"/>
      <c r="E100" s="2">
        <v>10</v>
      </c>
      <c r="F100" s="3" t="s">
        <v>15</v>
      </c>
      <c r="G100" s="4" t="s">
        <v>42</v>
      </c>
      <c r="H100" s="4"/>
      <c r="I100" s="4">
        <v>40</v>
      </c>
      <c r="K100" t="str">
        <f t="shared" si="8"/>
        <v>B</v>
      </c>
      <c r="L100">
        <f t="shared" si="9"/>
        <v>-30</v>
      </c>
      <c r="N100" s="7">
        <v>-1.70840485573362</v>
      </c>
      <c r="O100" t="str">
        <f t="shared" si="11"/>
        <v>B</v>
      </c>
      <c r="Q100">
        <f t="shared" si="10"/>
        <v>1</v>
      </c>
    </row>
    <row r="101" spans="1:17" ht="23.4" thickBot="1" x14ac:dyDescent="0.35">
      <c r="A101" s="1" t="s">
        <v>186</v>
      </c>
      <c r="B101" s="2" t="s">
        <v>22</v>
      </c>
      <c r="C101" s="2" t="s">
        <v>72</v>
      </c>
      <c r="D101" s="2"/>
      <c r="E101" s="2">
        <v>25</v>
      </c>
      <c r="F101" s="3" t="s">
        <v>41</v>
      </c>
      <c r="G101" s="4" t="s">
        <v>31</v>
      </c>
      <c r="H101" s="4"/>
      <c r="I101" s="4">
        <v>45</v>
      </c>
      <c r="K101" t="str">
        <f t="shared" si="8"/>
        <v>B</v>
      </c>
      <c r="L101">
        <f t="shared" si="9"/>
        <v>-20</v>
      </c>
      <c r="N101" s="7">
        <v>0.34640699281560799</v>
      </c>
      <c r="O101" t="str">
        <f t="shared" si="11"/>
        <v>R</v>
      </c>
      <c r="Q101">
        <f t="shared" si="10"/>
        <v>0</v>
      </c>
    </row>
    <row r="102" spans="1:17" ht="23.4" thickBot="1" x14ac:dyDescent="0.35">
      <c r="A102" s="1" t="s">
        <v>187</v>
      </c>
      <c r="B102" s="2" t="s">
        <v>91</v>
      </c>
      <c r="C102" s="2" t="s">
        <v>73</v>
      </c>
      <c r="D102" s="2"/>
      <c r="E102" s="2">
        <v>24</v>
      </c>
      <c r="F102" s="3" t="s">
        <v>95</v>
      </c>
      <c r="G102" s="4" t="s">
        <v>86</v>
      </c>
      <c r="H102" s="4"/>
      <c r="I102" s="4">
        <v>34</v>
      </c>
      <c r="K102" t="str">
        <f t="shared" si="8"/>
        <v>B</v>
      </c>
      <c r="L102">
        <f t="shared" si="9"/>
        <v>-10</v>
      </c>
      <c r="N102" s="7">
        <v>-0.107303730166197</v>
      </c>
      <c r="O102" t="str">
        <f t="shared" si="11"/>
        <v>B</v>
      </c>
      <c r="Q102">
        <f t="shared" si="10"/>
        <v>1</v>
      </c>
    </row>
    <row r="103" spans="1:17" ht="23.4" thickBot="1" x14ac:dyDescent="0.35">
      <c r="A103" s="1" t="s">
        <v>188</v>
      </c>
      <c r="B103" s="5" t="s">
        <v>20</v>
      </c>
      <c r="C103" s="5" t="s">
        <v>38</v>
      </c>
      <c r="D103" s="5"/>
      <c r="E103" s="5">
        <v>53</v>
      </c>
      <c r="F103" s="6" t="s">
        <v>103</v>
      </c>
      <c r="G103" s="2" t="s">
        <v>70</v>
      </c>
      <c r="H103" s="2"/>
      <c r="I103" s="2">
        <v>22</v>
      </c>
      <c r="K103" t="str">
        <f t="shared" si="8"/>
        <v>R</v>
      </c>
      <c r="L103">
        <f t="shared" si="9"/>
        <v>31</v>
      </c>
      <c r="N103" s="7">
        <v>0.801027468082806</v>
      </c>
      <c r="O103" t="str">
        <f t="shared" si="11"/>
        <v>R</v>
      </c>
      <c r="Q103">
        <f t="shared" si="10"/>
        <v>1</v>
      </c>
    </row>
    <row r="104" spans="1:17" ht="23.4" thickBot="1" x14ac:dyDescent="0.35">
      <c r="A104" s="1" t="s">
        <v>189</v>
      </c>
      <c r="B104" s="5" t="s">
        <v>67</v>
      </c>
      <c r="C104" s="5" t="s">
        <v>107</v>
      </c>
      <c r="D104" s="5"/>
      <c r="E104" s="5">
        <v>38</v>
      </c>
      <c r="F104" s="6" t="s">
        <v>33</v>
      </c>
      <c r="G104" s="2" t="s">
        <v>88</v>
      </c>
      <c r="H104" s="2"/>
      <c r="I104" s="2">
        <v>34</v>
      </c>
      <c r="K104" t="str">
        <f t="shared" si="8"/>
        <v>R</v>
      </c>
      <c r="L104">
        <f t="shared" si="9"/>
        <v>4</v>
      </c>
      <c r="N104" s="7">
        <v>0.63058027738298805</v>
      </c>
      <c r="O104" t="str">
        <f t="shared" si="11"/>
        <v>R</v>
      </c>
      <c r="Q104">
        <f t="shared" si="10"/>
        <v>1</v>
      </c>
    </row>
    <row r="105" spans="1:17" ht="23.4" thickBot="1" x14ac:dyDescent="0.35">
      <c r="A105" s="1" t="s">
        <v>190</v>
      </c>
      <c r="B105" s="2" t="s">
        <v>75</v>
      </c>
      <c r="C105" s="2" t="s">
        <v>87</v>
      </c>
      <c r="D105" s="2"/>
      <c r="E105" s="2">
        <v>32</v>
      </c>
      <c r="F105" s="3" t="s">
        <v>26</v>
      </c>
      <c r="G105" s="4" t="s">
        <v>62</v>
      </c>
      <c r="H105" s="4"/>
      <c r="I105" s="4">
        <v>37</v>
      </c>
      <c r="K105" t="str">
        <f t="shared" si="8"/>
        <v>B</v>
      </c>
      <c r="L105">
        <f t="shared" si="9"/>
        <v>-5</v>
      </c>
      <c r="N105" s="7">
        <v>0.116292435446621</v>
      </c>
      <c r="O105" t="str">
        <f t="shared" si="11"/>
        <v>R</v>
      </c>
      <c r="Q105">
        <f t="shared" si="10"/>
        <v>0</v>
      </c>
    </row>
    <row r="106" spans="1:17" ht="23.4" thickBot="1" x14ac:dyDescent="0.35">
      <c r="A106" s="1" t="s">
        <v>191</v>
      </c>
      <c r="B106" s="2" t="s">
        <v>85</v>
      </c>
      <c r="C106" s="2" t="s">
        <v>6</v>
      </c>
      <c r="D106" s="2"/>
      <c r="E106" s="2">
        <v>10</v>
      </c>
      <c r="F106" s="3" t="s">
        <v>57</v>
      </c>
      <c r="G106" s="4" t="s">
        <v>51</v>
      </c>
      <c r="H106" s="4"/>
      <c r="I106" s="4">
        <v>21</v>
      </c>
      <c r="K106" t="str">
        <f t="shared" si="8"/>
        <v>B</v>
      </c>
      <c r="L106">
        <f t="shared" si="9"/>
        <v>-11</v>
      </c>
      <c r="N106" s="7">
        <v>-0.91931731767814395</v>
      </c>
      <c r="O106" t="str">
        <f t="shared" si="11"/>
        <v>B</v>
      </c>
      <c r="Q106">
        <f t="shared" si="10"/>
        <v>1</v>
      </c>
    </row>
    <row r="107" spans="1:17" ht="23.4" thickBot="1" x14ac:dyDescent="0.35">
      <c r="A107" s="1" t="s">
        <v>192</v>
      </c>
      <c r="B107" s="2" t="s">
        <v>17</v>
      </c>
      <c r="C107" s="2" t="s">
        <v>47</v>
      </c>
      <c r="D107" s="2"/>
      <c r="E107" s="2">
        <v>18</v>
      </c>
      <c r="F107" s="3" t="s">
        <v>61</v>
      </c>
      <c r="G107" s="4" t="s">
        <v>40</v>
      </c>
      <c r="H107" s="4"/>
      <c r="I107" s="4">
        <v>32</v>
      </c>
      <c r="K107" t="str">
        <f t="shared" si="8"/>
        <v>B</v>
      </c>
      <c r="L107">
        <f t="shared" si="9"/>
        <v>-14</v>
      </c>
      <c r="N107" s="7">
        <v>-1.27603611208127</v>
      </c>
      <c r="O107" t="str">
        <f t="shared" si="11"/>
        <v>B</v>
      </c>
      <c r="Q107">
        <f t="shared" si="10"/>
        <v>1</v>
      </c>
    </row>
    <row r="108" spans="1:17" ht="23.4" thickBot="1" x14ac:dyDescent="0.35">
      <c r="A108" s="1" t="s">
        <v>193</v>
      </c>
      <c r="B108" s="5" t="s">
        <v>63</v>
      </c>
      <c r="C108" s="5" t="s">
        <v>90</v>
      </c>
      <c r="D108" s="5"/>
      <c r="E108" s="5">
        <v>36</v>
      </c>
      <c r="F108" s="6" t="s">
        <v>56</v>
      </c>
      <c r="G108" s="2" t="s">
        <v>105</v>
      </c>
      <c r="H108" s="2"/>
      <c r="I108" s="2">
        <v>16</v>
      </c>
      <c r="K108" t="str">
        <f t="shared" si="8"/>
        <v>R</v>
      </c>
      <c r="L108">
        <f t="shared" si="9"/>
        <v>20</v>
      </c>
      <c r="N108" s="7">
        <v>0.16725308818711501</v>
      </c>
      <c r="O108" t="str">
        <f t="shared" si="11"/>
        <v>R</v>
      </c>
      <c r="Q108">
        <f t="shared" si="10"/>
        <v>1</v>
      </c>
    </row>
    <row r="109" spans="1:17" ht="23.4" thickBot="1" x14ac:dyDescent="0.35">
      <c r="A109" s="1" t="s">
        <v>194</v>
      </c>
      <c r="B109" s="2" t="s">
        <v>16</v>
      </c>
      <c r="C109" s="2" t="s">
        <v>7</v>
      </c>
      <c r="D109" s="2"/>
      <c r="E109" s="2">
        <v>35</v>
      </c>
      <c r="F109" s="3" t="s">
        <v>76</v>
      </c>
      <c r="G109" s="4" t="s">
        <v>102</v>
      </c>
      <c r="H109" s="4"/>
      <c r="I109" s="4">
        <v>40</v>
      </c>
      <c r="K109" t="str">
        <f t="shared" si="8"/>
        <v>B</v>
      </c>
      <c r="L109">
        <f t="shared" si="9"/>
        <v>-5</v>
      </c>
      <c r="N109" s="7">
        <v>0.374144423617008</v>
      </c>
      <c r="O109" t="str">
        <f t="shared" si="11"/>
        <v>R</v>
      </c>
      <c r="Q109">
        <f t="shared" si="10"/>
        <v>0</v>
      </c>
    </row>
    <row r="110" spans="1:17" ht="23.4" thickBot="1" x14ac:dyDescent="0.35">
      <c r="A110" s="1" t="s">
        <v>195</v>
      </c>
      <c r="B110" s="2" t="s">
        <v>82</v>
      </c>
      <c r="C110" s="2" t="s">
        <v>101</v>
      </c>
      <c r="D110" s="2"/>
      <c r="E110" s="2">
        <v>22</v>
      </c>
      <c r="F110" s="3" t="s">
        <v>71</v>
      </c>
      <c r="G110" s="4" t="s">
        <v>48</v>
      </c>
      <c r="H110" s="4"/>
      <c r="I110" s="4">
        <v>31</v>
      </c>
      <c r="K110" t="str">
        <f t="shared" si="8"/>
        <v>B</v>
      </c>
      <c r="L110">
        <f t="shared" si="9"/>
        <v>-9</v>
      </c>
      <c r="N110" s="7">
        <v>-0.35708129930987997</v>
      </c>
      <c r="O110" t="str">
        <f t="shared" si="11"/>
        <v>B</v>
      </c>
      <c r="Q110">
        <f t="shared" si="10"/>
        <v>1</v>
      </c>
    </row>
    <row r="111" spans="1:17" ht="23.4" thickBot="1" x14ac:dyDescent="0.35">
      <c r="A111" s="1" t="s">
        <v>196</v>
      </c>
      <c r="B111" s="2" t="s">
        <v>36</v>
      </c>
      <c r="C111" s="2" t="s">
        <v>98</v>
      </c>
      <c r="D111" s="2"/>
      <c r="E111" s="2">
        <v>22</v>
      </c>
      <c r="F111" s="3" t="s">
        <v>45</v>
      </c>
      <c r="G111" s="4" t="s">
        <v>52</v>
      </c>
      <c r="H111" s="4"/>
      <c r="I111" s="4">
        <v>35</v>
      </c>
      <c r="K111" t="str">
        <f t="shared" si="8"/>
        <v>B</v>
      </c>
      <c r="L111">
        <f t="shared" si="9"/>
        <v>-13</v>
      </c>
      <c r="N111" s="7">
        <v>-0.237349780482318</v>
      </c>
      <c r="O111" t="str">
        <f t="shared" si="11"/>
        <v>B</v>
      </c>
      <c r="Q111">
        <f t="shared" si="10"/>
        <v>1</v>
      </c>
    </row>
    <row r="112" spans="1:17" ht="23.4" thickBot="1" x14ac:dyDescent="0.35">
      <c r="A112" s="1" t="s">
        <v>197</v>
      </c>
      <c r="B112" s="5" t="s">
        <v>86</v>
      </c>
      <c r="C112" s="5" t="s">
        <v>18</v>
      </c>
      <c r="D112" s="5"/>
      <c r="E112" s="5">
        <v>30</v>
      </c>
      <c r="F112" s="6" t="s">
        <v>12</v>
      </c>
      <c r="G112" s="2" t="s">
        <v>35</v>
      </c>
      <c r="H112" s="2"/>
      <c r="I112" s="2">
        <v>29</v>
      </c>
      <c r="K112" t="str">
        <f t="shared" si="8"/>
        <v>R</v>
      </c>
      <c r="L112">
        <f t="shared" si="9"/>
        <v>1</v>
      </c>
      <c r="N112" s="7">
        <v>1.0335419786576501</v>
      </c>
      <c r="O112" t="str">
        <f t="shared" si="11"/>
        <v>R</v>
      </c>
      <c r="Q112">
        <f t="shared" si="10"/>
        <v>1</v>
      </c>
    </row>
    <row r="113" spans="1:17" ht="23.4" thickBot="1" x14ac:dyDescent="0.35">
      <c r="A113" s="1" t="s">
        <v>198</v>
      </c>
      <c r="B113" s="5" t="s">
        <v>100</v>
      </c>
      <c r="C113" s="5" t="s">
        <v>95</v>
      </c>
      <c r="D113" s="5"/>
      <c r="E113" s="5">
        <v>43</v>
      </c>
      <c r="F113" s="6" t="s">
        <v>53</v>
      </c>
      <c r="G113" s="2" t="s">
        <v>13</v>
      </c>
      <c r="H113" s="2"/>
      <c r="I113" s="2">
        <v>28</v>
      </c>
      <c r="K113" t="str">
        <f t="shared" si="8"/>
        <v>R</v>
      </c>
      <c r="L113">
        <f t="shared" si="9"/>
        <v>15</v>
      </c>
      <c r="N113" s="7">
        <v>-0.51481405445806405</v>
      </c>
      <c r="O113" t="str">
        <f t="shared" si="11"/>
        <v>B</v>
      </c>
      <c r="Q113">
        <f t="shared" si="10"/>
        <v>0</v>
      </c>
    </row>
    <row r="114" spans="1:17" ht="23.4" thickBot="1" x14ac:dyDescent="0.35">
      <c r="A114" s="1" t="s">
        <v>199</v>
      </c>
      <c r="B114" s="5" t="s">
        <v>20</v>
      </c>
      <c r="C114" s="5" t="s">
        <v>73</v>
      </c>
      <c r="D114" s="5"/>
      <c r="E114" s="5">
        <v>35</v>
      </c>
      <c r="F114" s="6" t="s">
        <v>10</v>
      </c>
      <c r="G114" s="2" t="s">
        <v>66</v>
      </c>
      <c r="H114" s="2"/>
      <c r="I114" s="2">
        <v>31</v>
      </c>
      <c r="K114" t="str">
        <f t="shared" si="8"/>
        <v>R</v>
      </c>
      <c r="L114">
        <f t="shared" si="9"/>
        <v>4</v>
      </c>
      <c r="N114" s="7">
        <v>1.02163057387972</v>
      </c>
      <c r="O114" t="str">
        <f t="shared" si="11"/>
        <v>R</v>
      </c>
      <c r="Q114">
        <f t="shared" si="10"/>
        <v>1</v>
      </c>
    </row>
    <row r="115" spans="1:17" ht="23.4" thickBot="1" x14ac:dyDescent="0.35">
      <c r="A115" s="1" t="s">
        <v>200</v>
      </c>
      <c r="B115" s="5" t="s">
        <v>26</v>
      </c>
      <c r="C115" s="5" t="s">
        <v>15</v>
      </c>
      <c r="D115" s="5"/>
      <c r="E115" s="5">
        <v>50</v>
      </c>
      <c r="F115" s="6" t="s">
        <v>92</v>
      </c>
      <c r="G115" s="2" t="s">
        <v>88</v>
      </c>
      <c r="H115" s="2"/>
      <c r="I115" s="2">
        <v>44</v>
      </c>
      <c r="K115" t="str">
        <f t="shared" si="8"/>
        <v>R</v>
      </c>
      <c r="L115">
        <f t="shared" si="9"/>
        <v>6</v>
      </c>
      <c r="N115" s="7">
        <v>1.4102932461211</v>
      </c>
      <c r="O115" t="str">
        <f t="shared" si="11"/>
        <v>R</v>
      </c>
      <c r="Q115">
        <f t="shared" si="10"/>
        <v>1</v>
      </c>
    </row>
    <row r="116" spans="1:17" ht="23.4" thickBot="1" x14ac:dyDescent="0.35">
      <c r="A116" s="1" t="s">
        <v>201</v>
      </c>
      <c r="B116" s="5" t="s">
        <v>58</v>
      </c>
      <c r="C116" s="5" t="s">
        <v>33</v>
      </c>
      <c r="D116" s="5"/>
      <c r="E116" s="5">
        <v>42</v>
      </c>
      <c r="F116" s="6" t="s">
        <v>60</v>
      </c>
      <c r="G116" s="2" t="s">
        <v>65</v>
      </c>
      <c r="H116" s="2"/>
      <c r="I116" s="2">
        <v>8</v>
      </c>
      <c r="K116" t="str">
        <f t="shared" si="8"/>
        <v>R</v>
      </c>
      <c r="L116">
        <f t="shared" si="9"/>
        <v>34</v>
      </c>
      <c r="N116" s="7">
        <v>0.761553217314342</v>
      </c>
      <c r="O116" t="str">
        <f t="shared" si="11"/>
        <v>R</v>
      </c>
      <c r="Q116">
        <f t="shared" si="10"/>
        <v>1</v>
      </c>
    </row>
    <row r="117" spans="1:17" ht="23.4" thickBot="1" x14ac:dyDescent="0.35">
      <c r="A117" s="1" t="s">
        <v>202</v>
      </c>
      <c r="B117" s="2" t="s">
        <v>68</v>
      </c>
      <c r="C117" s="2" t="s">
        <v>81</v>
      </c>
      <c r="D117" s="2"/>
      <c r="E117" s="2">
        <v>23</v>
      </c>
      <c r="F117" s="3" t="s">
        <v>38</v>
      </c>
      <c r="G117" s="4" t="s">
        <v>78</v>
      </c>
      <c r="H117" s="4"/>
      <c r="I117" s="4">
        <v>36</v>
      </c>
      <c r="K117" t="str">
        <f t="shared" si="8"/>
        <v>B</v>
      </c>
      <c r="L117">
        <f t="shared" si="9"/>
        <v>-13</v>
      </c>
      <c r="N117" s="7">
        <v>1.02868661957665</v>
      </c>
      <c r="O117" t="str">
        <f t="shared" si="11"/>
        <v>R</v>
      </c>
      <c r="Q117">
        <f t="shared" si="10"/>
        <v>0</v>
      </c>
    </row>
    <row r="118" spans="1:17" ht="23.4" thickBot="1" x14ac:dyDescent="0.35">
      <c r="A118" s="1" t="s">
        <v>203</v>
      </c>
      <c r="B118" s="5" t="s">
        <v>70</v>
      </c>
      <c r="C118" s="5" t="s">
        <v>11</v>
      </c>
      <c r="D118" s="5"/>
      <c r="E118" s="5">
        <v>35</v>
      </c>
      <c r="F118" s="6" t="s">
        <v>28</v>
      </c>
      <c r="G118" s="2" t="s">
        <v>5</v>
      </c>
      <c r="H118" s="2"/>
      <c r="I118" s="2">
        <v>19</v>
      </c>
      <c r="K118" t="str">
        <f t="shared" si="8"/>
        <v>R</v>
      </c>
      <c r="L118">
        <f t="shared" si="9"/>
        <v>16</v>
      </c>
      <c r="N118" s="7">
        <v>0.15829934200672499</v>
      </c>
      <c r="O118" t="str">
        <f t="shared" si="11"/>
        <v>R</v>
      </c>
      <c r="Q118">
        <f t="shared" si="10"/>
        <v>1</v>
      </c>
    </row>
    <row r="119" spans="1:17" ht="23.4" thickBot="1" x14ac:dyDescent="0.35">
      <c r="A119" s="1" t="s">
        <v>204</v>
      </c>
      <c r="B119" s="5" t="s">
        <v>31</v>
      </c>
      <c r="C119" s="5" t="s">
        <v>83</v>
      </c>
      <c r="D119" s="5"/>
      <c r="E119" s="5">
        <v>43</v>
      </c>
      <c r="F119" s="6" t="s">
        <v>75</v>
      </c>
      <c r="G119" s="2" t="s">
        <v>23</v>
      </c>
      <c r="H119" s="2"/>
      <c r="I119" s="2">
        <v>29</v>
      </c>
      <c r="K119" t="str">
        <f t="shared" si="8"/>
        <v>R</v>
      </c>
      <c r="L119">
        <f t="shared" si="9"/>
        <v>14</v>
      </c>
      <c r="N119" s="7">
        <v>-0.27965160306387599</v>
      </c>
      <c r="O119" t="str">
        <f t="shared" si="11"/>
        <v>B</v>
      </c>
      <c r="Q119">
        <f t="shared" si="10"/>
        <v>0</v>
      </c>
    </row>
    <row r="120" spans="1:17" ht="23.4" thickBot="1" x14ac:dyDescent="0.35">
      <c r="A120" s="1" t="s">
        <v>205</v>
      </c>
      <c r="B120" s="5" t="s">
        <v>97</v>
      </c>
      <c r="C120" s="5" t="s">
        <v>103</v>
      </c>
      <c r="D120" s="5"/>
      <c r="E120" s="5">
        <v>25</v>
      </c>
      <c r="F120" s="6" t="s">
        <v>25</v>
      </c>
      <c r="G120" s="2" t="s">
        <v>41</v>
      </c>
      <c r="H120" s="2"/>
      <c r="I120" s="2">
        <v>16</v>
      </c>
      <c r="K120" t="str">
        <f t="shared" si="8"/>
        <v>R</v>
      </c>
      <c r="L120">
        <f t="shared" si="9"/>
        <v>9</v>
      </c>
      <c r="N120" s="7">
        <v>-0.205836684196787</v>
      </c>
      <c r="O120" t="str">
        <f t="shared" si="11"/>
        <v>B</v>
      </c>
      <c r="Q120">
        <f t="shared" si="10"/>
        <v>0</v>
      </c>
    </row>
    <row r="121" spans="1:17" ht="23.4" thickBot="1" x14ac:dyDescent="0.35">
      <c r="A121" s="1" t="s">
        <v>206</v>
      </c>
      <c r="B121" s="5" t="s">
        <v>96</v>
      </c>
      <c r="C121" s="5" t="s">
        <v>93</v>
      </c>
      <c r="D121" s="5"/>
      <c r="E121" s="5">
        <v>34</v>
      </c>
      <c r="F121" s="6" t="s">
        <v>50</v>
      </c>
      <c r="G121" s="2" t="s">
        <v>55</v>
      </c>
      <c r="H121" s="2"/>
      <c r="I121" s="2">
        <v>27</v>
      </c>
      <c r="K121" t="str">
        <f t="shared" si="8"/>
        <v>R</v>
      </c>
      <c r="L121">
        <f t="shared" si="9"/>
        <v>7</v>
      </c>
      <c r="N121" s="7">
        <v>0.38498071579045301</v>
      </c>
      <c r="O121" t="str">
        <f t="shared" si="11"/>
        <v>R</v>
      </c>
      <c r="Q121">
        <f t="shared" si="10"/>
        <v>1</v>
      </c>
    </row>
    <row r="122" spans="1:17" ht="23.4" thickBot="1" x14ac:dyDescent="0.35">
      <c r="A122" s="1" t="s">
        <v>207</v>
      </c>
      <c r="B122" s="5" t="s">
        <v>43</v>
      </c>
      <c r="C122" s="5" t="s">
        <v>106</v>
      </c>
      <c r="D122" s="5"/>
      <c r="E122" s="5">
        <v>36</v>
      </c>
      <c r="F122" s="6" t="s">
        <v>22</v>
      </c>
      <c r="G122" s="2" t="s">
        <v>32</v>
      </c>
      <c r="H122" s="2"/>
      <c r="I122" s="2">
        <v>33</v>
      </c>
      <c r="K122" t="str">
        <f t="shared" si="8"/>
        <v>R</v>
      </c>
      <c r="L122">
        <f t="shared" si="9"/>
        <v>3</v>
      </c>
      <c r="N122" s="7">
        <v>-0.75752818658921195</v>
      </c>
      <c r="O122" t="str">
        <f t="shared" si="11"/>
        <v>B</v>
      </c>
      <c r="Q122">
        <f t="shared" si="10"/>
        <v>0</v>
      </c>
    </row>
    <row r="123" spans="1:17" ht="23.4" thickBot="1" x14ac:dyDescent="0.35">
      <c r="A123" s="1" t="s">
        <v>208</v>
      </c>
      <c r="B123" s="5" t="s">
        <v>46</v>
      </c>
      <c r="C123" s="5" t="s">
        <v>80</v>
      </c>
      <c r="D123" s="5"/>
      <c r="E123" s="5">
        <v>37</v>
      </c>
      <c r="F123" s="6" t="s">
        <v>8</v>
      </c>
      <c r="G123" s="2" t="s">
        <v>87</v>
      </c>
      <c r="H123" s="2"/>
      <c r="I123" s="2">
        <v>12</v>
      </c>
      <c r="K123" t="str">
        <f t="shared" si="8"/>
        <v>R</v>
      </c>
      <c r="L123">
        <f t="shared" si="9"/>
        <v>25</v>
      </c>
      <c r="N123" s="7">
        <v>-0.72793694334424797</v>
      </c>
      <c r="O123" t="str">
        <f t="shared" si="11"/>
        <v>B</v>
      </c>
      <c r="Q123">
        <f t="shared" si="10"/>
        <v>0</v>
      </c>
    </row>
    <row r="124" spans="1:17" ht="23.4" thickBot="1" x14ac:dyDescent="0.35">
      <c r="A124" s="1" t="s">
        <v>209</v>
      </c>
      <c r="B124" s="2" t="s">
        <v>21</v>
      </c>
      <c r="C124" s="2" t="s">
        <v>30</v>
      </c>
      <c r="D124" s="2"/>
      <c r="E124" s="2">
        <v>11</v>
      </c>
      <c r="F124" s="3" t="s">
        <v>107</v>
      </c>
      <c r="G124" s="4" t="s">
        <v>42</v>
      </c>
      <c r="H124" s="4"/>
      <c r="I124" s="4">
        <v>40</v>
      </c>
      <c r="K124" t="str">
        <f t="shared" si="8"/>
        <v>B</v>
      </c>
      <c r="L124">
        <f t="shared" si="9"/>
        <v>-29</v>
      </c>
      <c r="N124" s="7">
        <v>-0.97231628804254899</v>
      </c>
      <c r="O124" t="str">
        <f t="shared" si="11"/>
        <v>B</v>
      </c>
      <c r="Q124">
        <f t="shared" si="10"/>
        <v>1</v>
      </c>
    </row>
    <row r="125" spans="1:17" ht="23.4" thickBot="1" x14ac:dyDescent="0.35">
      <c r="A125" s="1" t="s">
        <v>210</v>
      </c>
      <c r="B125" s="2" t="s">
        <v>77</v>
      </c>
      <c r="C125" s="2" t="s">
        <v>27</v>
      </c>
      <c r="D125" s="2"/>
      <c r="E125" s="2">
        <v>21</v>
      </c>
      <c r="F125" s="3" t="s">
        <v>67</v>
      </c>
      <c r="G125" s="4" t="s">
        <v>37</v>
      </c>
      <c r="H125" s="4"/>
      <c r="I125" s="4">
        <v>46</v>
      </c>
      <c r="K125" t="str">
        <f t="shared" si="8"/>
        <v>B</v>
      </c>
      <c r="L125">
        <f t="shared" si="9"/>
        <v>-25</v>
      </c>
      <c r="N125" s="7">
        <v>-1.2307719173477101</v>
      </c>
      <c r="O125" t="str">
        <f t="shared" si="11"/>
        <v>B</v>
      </c>
      <c r="Q125">
        <f t="shared" si="10"/>
        <v>1</v>
      </c>
    </row>
    <row r="126" spans="1:17" ht="23.4" thickBot="1" x14ac:dyDescent="0.35">
      <c r="A126" s="1" t="s">
        <v>211</v>
      </c>
      <c r="B126" s="2" t="s">
        <v>62</v>
      </c>
      <c r="C126" s="2" t="s">
        <v>72</v>
      </c>
      <c r="D126" s="2"/>
      <c r="E126" s="2">
        <v>8</v>
      </c>
      <c r="F126" s="3" t="s">
        <v>7</v>
      </c>
      <c r="G126" s="4" t="s">
        <v>91</v>
      </c>
      <c r="H126" s="4"/>
      <c r="I126" s="4">
        <v>13</v>
      </c>
      <c r="K126" t="str">
        <f t="shared" si="8"/>
        <v>B</v>
      </c>
      <c r="L126">
        <f t="shared" si="9"/>
        <v>-5</v>
      </c>
      <c r="N126" s="7">
        <v>-0.31648762454166202</v>
      </c>
      <c r="O126" t="str">
        <f t="shared" si="11"/>
        <v>B</v>
      </c>
      <c r="Q126">
        <f t="shared" si="10"/>
        <v>1</v>
      </c>
    </row>
    <row r="127" spans="1:17" ht="23.4" thickBot="1" x14ac:dyDescent="0.35">
      <c r="A127" s="1" t="s">
        <v>212</v>
      </c>
      <c r="B127" s="2" t="s">
        <v>17</v>
      </c>
      <c r="C127" s="2" t="s">
        <v>98</v>
      </c>
      <c r="D127" s="2"/>
      <c r="E127" s="2">
        <v>9</v>
      </c>
      <c r="F127" s="3" t="s">
        <v>86</v>
      </c>
      <c r="G127" s="4" t="s">
        <v>57</v>
      </c>
      <c r="H127" s="4"/>
      <c r="I127" s="4">
        <v>50</v>
      </c>
      <c r="K127" t="str">
        <f t="shared" si="8"/>
        <v>B</v>
      </c>
      <c r="L127">
        <f t="shared" si="9"/>
        <v>-41</v>
      </c>
      <c r="N127" s="7">
        <v>-1.4708125536472301</v>
      </c>
      <c r="O127" t="str">
        <f t="shared" si="11"/>
        <v>B</v>
      </c>
      <c r="Q127">
        <f t="shared" si="10"/>
        <v>1</v>
      </c>
    </row>
    <row r="128" spans="1:17" ht="23.4" thickBot="1" x14ac:dyDescent="0.35">
      <c r="A128" s="1" t="s">
        <v>213</v>
      </c>
      <c r="B128" s="2" t="s">
        <v>70</v>
      </c>
      <c r="C128" s="2" t="s">
        <v>63</v>
      </c>
      <c r="D128" s="2"/>
      <c r="E128" s="2">
        <v>16</v>
      </c>
      <c r="F128" s="3" t="s">
        <v>88</v>
      </c>
      <c r="G128" s="4" t="s">
        <v>76</v>
      </c>
      <c r="H128" s="4"/>
      <c r="I128" s="4">
        <v>37</v>
      </c>
      <c r="K128" t="str">
        <f t="shared" si="8"/>
        <v>B</v>
      </c>
      <c r="L128">
        <f t="shared" si="9"/>
        <v>-21</v>
      </c>
      <c r="N128" s="7">
        <v>4.24853642140645E-2</v>
      </c>
      <c r="O128" t="str">
        <f t="shared" si="11"/>
        <v>R</v>
      </c>
      <c r="Q128">
        <f t="shared" si="10"/>
        <v>0</v>
      </c>
    </row>
    <row r="129" spans="1:17" ht="23.4" thickBot="1" x14ac:dyDescent="0.35">
      <c r="A129" s="1" t="s">
        <v>214</v>
      </c>
      <c r="B129" s="2" t="s">
        <v>6</v>
      </c>
      <c r="C129" s="2" t="s">
        <v>95</v>
      </c>
      <c r="D129" s="2"/>
      <c r="E129" s="2">
        <v>30</v>
      </c>
      <c r="F129" s="3" t="s">
        <v>66</v>
      </c>
      <c r="G129" s="4" t="s">
        <v>38</v>
      </c>
      <c r="H129" s="4"/>
      <c r="I129" s="4">
        <v>36</v>
      </c>
      <c r="K129" t="str">
        <f t="shared" si="8"/>
        <v>B</v>
      </c>
      <c r="L129">
        <f t="shared" si="9"/>
        <v>-6</v>
      </c>
      <c r="N129" s="7">
        <v>-4.8347988136603296E-3</v>
      </c>
      <c r="O129" t="str">
        <f t="shared" si="11"/>
        <v>B</v>
      </c>
      <c r="Q129">
        <f t="shared" si="10"/>
        <v>1</v>
      </c>
    </row>
    <row r="130" spans="1:17" ht="23.4" thickBot="1" x14ac:dyDescent="0.35">
      <c r="A130" s="1" t="s">
        <v>215</v>
      </c>
      <c r="B130" s="2" t="s">
        <v>52</v>
      </c>
      <c r="C130" s="2" t="s">
        <v>61</v>
      </c>
      <c r="D130" s="2"/>
      <c r="E130" s="2">
        <v>25</v>
      </c>
      <c r="F130" s="3" t="s">
        <v>20</v>
      </c>
      <c r="G130" s="4" t="s">
        <v>11</v>
      </c>
      <c r="H130" s="4"/>
      <c r="I130" s="4">
        <v>38</v>
      </c>
      <c r="K130" t="str">
        <f t="shared" si="8"/>
        <v>B</v>
      </c>
      <c r="L130">
        <f t="shared" si="9"/>
        <v>-13</v>
      </c>
      <c r="N130" s="7">
        <v>0.16052708980441899</v>
      </c>
      <c r="O130" t="str">
        <f t="shared" si="11"/>
        <v>R</v>
      </c>
      <c r="Q130">
        <f t="shared" si="10"/>
        <v>0</v>
      </c>
    </row>
    <row r="131" spans="1:17" ht="23.4" thickBot="1" x14ac:dyDescent="0.35">
      <c r="A131" s="1" t="s">
        <v>216</v>
      </c>
      <c r="B131" s="2" t="s">
        <v>33</v>
      </c>
      <c r="C131" s="2" t="s">
        <v>56</v>
      </c>
      <c r="D131" s="2"/>
      <c r="E131" s="2">
        <v>22</v>
      </c>
      <c r="F131" s="3" t="s">
        <v>73</v>
      </c>
      <c r="G131" s="4" t="s">
        <v>48</v>
      </c>
      <c r="H131" s="4"/>
      <c r="I131" s="4">
        <v>43</v>
      </c>
      <c r="K131" t="str">
        <f t="shared" ref="K131:K194" si="12">IF(E131&gt;I131,"R",IF(E131=I131,"D","B"))</f>
        <v>B</v>
      </c>
      <c r="L131">
        <f t="shared" ref="L131:L194" si="13">E131-I131</f>
        <v>-21</v>
      </c>
      <c r="N131" s="7">
        <v>0.38952887086184201</v>
      </c>
      <c r="O131" t="str">
        <f t="shared" ref="O131:O194" si="14">IF(N131&lt;0,"B","R")</f>
        <v>R</v>
      </c>
      <c r="Q131">
        <f t="shared" ref="Q131:Q194" si="15">IF(K131=O131,1,0)</f>
        <v>0</v>
      </c>
    </row>
    <row r="132" spans="1:17" ht="23.4" thickBot="1" x14ac:dyDescent="0.35">
      <c r="A132" s="1" t="s">
        <v>217</v>
      </c>
      <c r="B132" s="2" t="s">
        <v>105</v>
      </c>
      <c r="C132" s="2" t="s">
        <v>22</v>
      </c>
      <c r="D132" s="2"/>
      <c r="E132" s="2">
        <v>31</v>
      </c>
      <c r="F132" s="3" t="s">
        <v>100</v>
      </c>
      <c r="G132" s="4" t="s">
        <v>47</v>
      </c>
      <c r="H132" s="4"/>
      <c r="I132" s="4">
        <v>36</v>
      </c>
      <c r="K132" t="str">
        <f t="shared" si="12"/>
        <v>B</v>
      </c>
      <c r="L132">
        <f t="shared" si="13"/>
        <v>-5</v>
      </c>
      <c r="N132" s="7">
        <v>-0.19958413594433499</v>
      </c>
      <c r="O132" t="str">
        <f t="shared" si="14"/>
        <v>B</v>
      </c>
      <c r="Q132">
        <f t="shared" si="15"/>
        <v>1</v>
      </c>
    </row>
    <row r="133" spans="1:17" ht="23.4" thickBot="1" x14ac:dyDescent="0.35">
      <c r="A133" s="1" t="s">
        <v>218</v>
      </c>
      <c r="B133" s="2" t="s">
        <v>92</v>
      </c>
      <c r="C133" s="2" t="s">
        <v>40</v>
      </c>
      <c r="D133" s="2"/>
      <c r="E133" s="2">
        <v>15</v>
      </c>
      <c r="F133" s="3" t="s">
        <v>83</v>
      </c>
      <c r="G133" s="4" t="s">
        <v>97</v>
      </c>
      <c r="H133" s="4"/>
      <c r="I133" s="4">
        <v>41</v>
      </c>
      <c r="K133" t="str">
        <f t="shared" si="12"/>
        <v>B</v>
      </c>
      <c r="L133">
        <f t="shared" si="13"/>
        <v>-26</v>
      </c>
      <c r="N133" s="7">
        <v>-1.11897941352973</v>
      </c>
      <c r="O133" t="str">
        <f t="shared" si="14"/>
        <v>B</v>
      </c>
      <c r="Q133">
        <f t="shared" si="15"/>
        <v>1</v>
      </c>
    </row>
    <row r="134" spans="1:17" ht="23.4" thickBot="1" x14ac:dyDescent="0.35">
      <c r="A134" s="1" t="s">
        <v>219</v>
      </c>
      <c r="B134" s="2" t="s">
        <v>65</v>
      </c>
      <c r="C134" s="2" t="s">
        <v>12</v>
      </c>
      <c r="D134" s="2"/>
      <c r="E134" s="2">
        <v>18</v>
      </c>
      <c r="F134" s="3" t="s">
        <v>23</v>
      </c>
      <c r="G134" s="4" t="s">
        <v>26</v>
      </c>
      <c r="H134" s="4"/>
      <c r="I134" s="4">
        <v>36</v>
      </c>
      <c r="K134" t="str">
        <f t="shared" si="12"/>
        <v>B</v>
      </c>
      <c r="L134">
        <f t="shared" si="13"/>
        <v>-18</v>
      </c>
      <c r="N134" s="7">
        <v>-1.2892522718967101</v>
      </c>
      <c r="O134" t="str">
        <f t="shared" si="14"/>
        <v>B</v>
      </c>
      <c r="Q134">
        <f t="shared" si="15"/>
        <v>1</v>
      </c>
    </row>
    <row r="135" spans="1:17" ht="23.4" thickBot="1" x14ac:dyDescent="0.35">
      <c r="A135" s="1" t="s">
        <v>220</v>
      </c>
      <c r="B135" s="2" t="s">
        <v>41</v>
      </c>
      <c r="C135" s="2" t="s">
        <v>8</v>
      </c>
      <c r="D135" s="2"/>
      <c r="E135" s="2">
        <v>9</v>
      </c>
      <c r="F135" s="3" t="s">
        <v>15</v>
      </c>
      <c r="G135" s="4" t="s">
        <v>75</v>
      </c>
      <c r="H135" s="4"/>
      <c r="I135" s="4">
        <v>36</v>
      </c>
      <c r="K135" t="str">
        <f t="shared" si="12"/>
        <v>B</v>
      </c>
      <c r="L135">
        <f t="shared" si="13"/>
        <v>-27</v>
      </c>
      <c r="N135" s="7">
        <v>-0.39772319467294498</v>
      </c>
      <c r="O135" t="str">
        <f t="shared" si="14"/>
        <v>B</v>
      </c>
      <c r="Q135">
        <f t="shared" si="15"/>
        <v>1</v>
      </c>
    </row>
    <row r="136" spans="1:17" ht="23.4" thickBot="1" x14ac:dyDescent="0.35">
      <c r="A136" s="1" t="s">
        <v>221</v>
      </c>
      <c r="B136" s="5" t="s">
        <v>36</v>
      </c>
      <c r="C136" s="5" t="s">
        <v>53</v>
      </c>
      <c r="D136" s="5"/>
      <c r="E136" s="5">
        <v>40</v>
      </c>
      <c r="F136" s="6" t="s">
        <v>106</v>
      </c>
      <c r="G136" s="2" t="s">
        <v>80</v>
      </c>
      <c r="H136" s="2"/>
      <c r="I136" s="2">
        <v>31</v>
      </c>
      <c r="K136" t="str">
        <f t="shared" si="12"/>
        <v>R</v>
      </c>
      <c r="L136">
        <f t="shared" si="13"/>
        <v>9</v>
      </c>
      <c r="N136" s="7">
        <v>0.779414232930977</v>
      </c>
      <c r="O136" t="str">
        <f t="shared" si="14"/>
        <v>R</v>
      </c>
      <c r="Q136">
        <f t="shared" si="15"/>
        <v>1</v>
      </c>
    </row>
    <row r="137" spans="1:17" ht="23.4" thickBot="1" x14ac:dyDescent="0.35">
      <c r="A137" s="1" t="s">
        <v>222</v>
      </c>
      <c r="B137" s="2" t="s">
        <v>91</v>
      </c>
      <c r="C137" s="2" t="s">
        <v>32</v>
      </c>
      <c r="D137" s="2"/>
      <c r="E137" s="2">
        <v>20</v>
      </c>
      <c r="F137" s="3" t="s">
        <v>46</v>
      </c>
      <c r="G137" s="4" t="s">
        <v>27</v>
      </c>
      <c r="H137" s="4"/>
      <c r="I137" s="4">
        <v>32</v>
      </c>
      <c r="K137" t="str">
        <f t="shared" si="12"/>
        <v>B</v>
      </c>
      <c r="L137">
        <f t="shared" si="13"/>
        <v>-12</v>
      </c>
      <c r="N137" s="7">
        <v>0.51977446801267202</v>
      </c>
      <c r="O137" t="str">
        <f t="shared" si="14"/>
        <v>R</v>
      </c>
      <c r="Q137">
        <f t="shared" si="15"/>
        <v>0</v>
      </c>
    </row>
    <row r="138" spans="1:17" ht="23.4" thickBot="1" x14ac:dyDescent="0.35">
      <c r="A138" s="1" t="s">
        <v>223</v>
      </c>
      <c r="B138" s="2" t="s">
        <v>102</v>
      </c>
      <c r="C138" s="2" t="s">
        <v>96</v>
      </c>
      <c r="D138" s="2"/>
      <c r="E138" s="2">
        <v>33</v>
      </c>
      <c r="F138" s="6" t="s">
        <v>72</v>
      </c>
      <c r="G138" s="2" t="s">
        <v>18</v>
      </c>
      <c r="H138" s="2"/>
      <c r="I138" s="2">
        <v>33</v>
      </c>
      <c r="K138" t="str">
        <f t="shared" si="12"/>
        <v>D</v>
      </c>
      <c r="L138">
        <f t="shared" si="13"/>
        <v>0</v>
      </c>
      <c r="N138" s="7">
        <v>0.209028357989581</v>
      </c>
      <c r="O138" t="str">
        <f t="shared" si="14"/>
        <v>R</v>
      </c>
      <c r="Q138">
        <f t="shared" si="15"/>
        <v>0</v>
      </c>
    </row>
    <row r="139" spans="1:17" ht="23.4" thickBot="1" x14ac:dyDescent="0.35">
      <c r="A139" s="1" t="s">
        <v>224</v>
      </c>
      <c r="B139" s="2" t="s">
        <v>42</v>
      </c>
      <c r="C139" s="2" t="s">
        <v>78</v>
      </c>
      <c r="D139" s="2"/>
      <c r="E139" s="2">
        <v>33</v>
      </c>
      <c r="F139" s="6" t="s">
        <v>71</v>
      </c>
      <c r="G139" s="2" t="s">
        <v>37</v>
      </c>
      <c r="H139" s="2"/>
      <c r="I139" s="2">
        <v>33</v>
      </c>
      <c r="K139" t="str">
        <f t="shared" si="12"/>
        <v>D</v>
      </c>
      <c r="L139">
        <f t="shared" si="13"/>
        <v>0</v>
      </c>
      <c r="N139" s="7">
        <v>0.25237071221970903</v>
      </c>
      <c r="O139" t="str">
        <f t="shared" si="14"/>
        <v>R</v>
      </c>
      <c r="Q139">
        <f t="shared" si="15"/>
        <v>0</v>
      </c>
    </row>
    <row r="140" spans="1:17" ht="23.4" thickBot="1" x14ac:dyDescent="0.35">
      <c r="A140" s="1" t="s">
        <v>225</v>
      </c>
      <c r="B140" s="2" t="s">
        <v>5</v>
      </c>
      <c r="C140" s="2" t="s">
        <v>31</v>
      </c>
      <c r="D140" s="2"/>
      <c r="E140" s="2">
        <v>22</v>
      </c>
      <c r="F140" s="3" t="s">
        <v>77</v>
      </c>
      <c r="G140" s="4" t="s">
        <v>81</v>
      </c>
      <c r="H140" s="4"/>
      <c r="I140" s="4">
        <v>45</v>
      </c>
      <c r="K140" t="str">
        <f t="shared" si="12"/>
        <v>B</v>
      </c>
      <c r="L140">
        <f t="shared" si="13"/>
        <v>-23</v>
      </c>
      <c r="N140" s="7">
        <v>-1.5263223540817601</v>
      </c>
      <c r="O140" t="str">
        <f t="shared" si="14"/>
        <v>B</v>
      </c>
      <c r="Q140">
        <f t="shared" si="15"/>
        <v>1</v>
      </c>
    </row>
    <row r="141" spans="1:17" ht="23.4" thickBot="1" x14ac:dyDescent="0.35">
      <c r="A141" s="1" t="s">
        <v>226</v>
      </c>
      <c r="B141" s="5" t="s">
        <v>107</v>
      </c>
      <c r="C141" s="5" t="s">
        <v>90</v>
      </c>
      <c r="D141" s="5"/>
      <c r="E141" s="5">
        <v>33</v>
      </c>
      <c r="F141" s="6" t="s">
        <v>55</v>
      </c>
      <c r="G141" s="2" t="s">
        <v>16</v>
      </c>
      <c r="H141" s="2"/>
      <c r="I141" s="2">
        <v>27</v>
      </c>
      <c r="K141" t="str">
        <f t="shared" si="12"/>
        <v>R</v>
      </c>
      <c r="L141">
        <f t="shared" si="13"/>
        <v>6</v>
      </c>
      <c r="N141" s="7">
        <v>7.3731636816340096E-2</v>
      </c>
      <c r="O141" t="str">
        <f t="shared" si="14"/>
        <v>R</v>
      </c>
      <c r="Q141">
        <f t="shared" si="15"/>
        <v>1</v>
      </c>
    </row>
    <row r="142" spans="1:17" ht="23.4" thickBot="1" x14ac:dyDescent="0.35">
      <c r="A142" s="1" t="s">
        <v>227</v>
      </c>
      <c r="B142" s="2" t="s">
        <v>28</v>
      </c>
      <c r="C142" s="2" t="s">
        <v>103</v>
      </c>
      <c r="D142" s="2"/>
      <c r="E142" s="2">
        <v>21</v>
      </c>
      <c r="F142" s="3" t="s">
        <v>85</v>
      </c>
      <c r="G142" s="4" t="s">
        <v>82</v>
      </c>
      <c r="H142" s="4"/>
      <c r="I142" s="4">
        <v>26</v>
      </c>
      <c r="K142" t="str">
        <f t="shared" si="12"/>
        <v>B</v>
      </c>
      <c r="L142">
        <f t="shared" si="13"/>
        <v>-5</v>
      </c>
      <c r="N142" s="7">
        <v>1.16443809697181</v>
      </c>
      <c r="O142" t="str">
        <f t="shared" si="14"/>
        <v>R</v>
      </c>
      <c r="Q142">
        <f t="shared" si="15"/>
        <v>0</v>
      </c>
    </row>
    <row r="143" spans="1:17" ht="23.4" thickBot="1" x14ac:dyDescent="0.35">
      <c r="A143" s="1" t="s">
        <v>228</v>
      </c>
      <c r="B143" s="5" t="s">
        <v>43</v>
      </c>
      <c r="C143" s="5" t="s">
        <v>21</v>
      </c>
      <c r="D143" s="5"/>
      <c r="E143" s="5">
        <v>39</v>
      </c>
      <c r="F143" s="6" t="s">
        <v>67</v>
      </c>
      <c r="G143" s="2" t="s">
        <v>87</v>
      </c>
      <c r="H143" s="2"/>
      <c r="I143" s="2">
        <v>33</v>
      </c>
      <c r="K143" t="str">
        <f t="shared" si="12"/>
        <v>R</v>
      </c>
      <c r="L143">
        <f t="shared" si="13"/>
        <v>6</v>
      </c>
      <c r="N143" s="7">
        <v>-1.4003571355029001</v>
      </c>
      <c r="O143" t="str">
        <f t="shared" si="14"/>
        <v>B</v>
      </c>
      <c r="Q143">
        <f t="shared" si="15"/>
        <v>0</v>
      </c>
    </row>
    <row r="144" spans="1:17" ht="23.4" thickBot="1" x14ac:dyDescent="0.35">
      <c r="A144" s="1" t="s">
        <v>229</v>
      </c>
      <c r="B144" s="2" t="s">
        <v>35</v>
      </c>
      <c r="C144" s="2" t="s">
        <v>50</v>
      </c>
      <c r="D144" s="2"/>
      <c r="E144" s="2">
        <v>24</v>
      </c>
      <c r="F144" s="3" t="s">
        <v>13</v>
      </c>
      <c r="G144" s="4" t="s">
        <v>101</v>
      </c>
      <c r="H144" s="4"/>
      <c r="I144" s="4">
        <v>29</v>
      </c>
      <c r="K144" t="str">
        <f t="shared" si="12"/>
        <v>B</v>
      </c>
      <c r="L144">
        <f t="shared" si="13"/>
        <v>-5</v>
      </c>
      <c r="N144" s="7">
        <v>-0.68598745575008802</v>
      </c>
      <c r="O144" t="str">
        <f t="shared" si="14"/>
        <v>B</v>
      </c>
      <c r="Q144">
        <f t="shared" si="15"/>
        <v>1</v>
      </c>
    </row>
    <row r="145" spans="1:17" ht="23.4" thickBot="1" x14ac:dyDescent="0.35">
      <c r="A145" s="1" t="s">
        <v>230</v>
      </c>
      <c r="B145" s="2" t="s">
        <v>60</v>
      </c>
      <c r="C145" s="2" t="s">
        <v>30</v>
      </c>
      <c r="D145" s="2"/>
      <c r="E145" s="2">
        <v>9</v>
      </c>
      <c r="F145" s="3" t="s">
        <v>45</v>
      </c>
      <c r="G145" s="4" t="s">
        <v>10</v>
      </c>
      <c r="H145" s="4"/>
      <c r="I145" s="4">
        <v>39</v>
      </c>
      <c r="K145" t="str">
        <f t="shared" si="12"/>
        <v>B</v>
      </c>
      <c r="L145">
        <f t="shared" si="13"/>
        <v>-30</v>
      </c>
      <c r="N145" s="7">
        <v>-0.88495803339536505</v>
      </c>
      <c r="O145" t="str">
        <f t="shared" si="14"/>
        <v>B</v>
      </c>
      <c r="Q145">
        <f t="shared" si="15"/>
        <v>1</v>
      </c>
    </row>
    <row r="146" spans="1:17" ht="23.4" thickBot="1" x14ac:dyDescent="0.35">
      <c r="A146" s="1" t="s">
        <v>231</v>
      </c>
      <c r="B146" s="2" t="s">
        <v>25</v>
      </c>
      <c r="C146" s="2" t="s">
        <v>51</v>
      </c>
      <c r="D146" s="2"/>
      <c r="E146" s="2">
        <v>17</v>
      </c>
      <c r="F146" s="3" t="s">
        <v>58</v>
      </c>
      <c r="G146" s="4" t="s">
        <v>93</v>
      </c>
      <c r="H146" s="4"/>
      <c r="I146" s="4">
        <v>28</v>
      </c>
      <c r="K146" t="str">
        <f t="shared" si="12"/>
        <v>B</v>
      </c>
      <c r="L146">
        <f t="shared" si="13"/>
        <v>-11</v>
      </c>
      <c r="N146" s="7">
        <v>1.11393734254537</v>
      </c>
      <c r="O146" t="str">
        <f t="shared" si="14"/>
        <v>R</v>
      </c>
      <c r="Q146">
        <f t="shared" si="15"/>
        <v>0</v>
      </c>
    </row>
    <row r="147" spans="1:17" ht="23.4" thickBot="1" x14ac:dyDescent="0.35">
      <c r="A147" s="1" t="s">
        <v>232</v>
      </c>
      <c r="B147" s="2" t="s">
        <v>68</v>
      </c>
      <c r="C147" s="2" t="s">
        <v>57</v>
      </c>
      <c r="D147" s="2"/>
      <c r="E147" s="2">
        <v>15</v>
      </c>
      <c r="F147" s="3" t="s">
        <v>7</v>
      </c>
      <c r="G147" s="4" t="s">
        <v>33</v>
      </c>
      <c r="H147" s="4"/>
      <c r="I147" s="4">
        <v>46</v>
      </c>
      <c r="K147" t="str">
        <f t="shared" si="12"/>
        <v>B</v>
      </c>
      <c r="L147">
        <f t="shared" si="13"/>
        <v>-31</v>
      </c>
      <c r="N147" s="7">
        <v>-0.13676808468104701</v>
      </c>
      <c r="O147" t="str">
        <f t="shared" si="14"/>
        <v>B</v>
      </c>
      <c r="Q147">
        <f t="shared" si="15"/>
        <v>1</v>
      </c>
    </row>
    <row r="148" spans="1:17" ht="23.4" thickBot="1" x14ac:dyDescent="0.35">
      <c r="A148" s="1" t="s">
        <v>233</v>
      </c>
      <c r="B148" s="2" t="s">
        <v>20</v>
      </c>
      <c r="C148" s="2" t="s">
        <v>46</v>
      </c>
      <c r="D148" s="2"/>
      <c r="E148" s="2">
        <v>29</v>
      </c>
      <c r="F148" s="3" t="s">
        <v>83</v>
      </c>
      <c r="G148" s="4" t="s">
        <v>105</v>
      </c>
      <c r="H148" s="4"/>
      <c r="I148" s="4">
        <v>39</v>
      </c>
      <c r="K148" t="str">
        <f t="shared" si="12"/>
        <v>B</v>
      </c>
      <c r="L148">
        <f t="shared" si="13"/>
        <v>-10</v>
      </c>
      <c r="N148" s="7">
        <v>0.15258564972744301</v>
      </c>
      <c r="O148" t="str">
        <f t="shared" si="14"/>
        <v>R</v>
      </c>
      <c r="Q148">
        <f t="shared" si="15"/>
        <v>0</v>
      </c>
    </row>
    <row r="149" spans="1:17" ht="23.4" thickBot="1" x14ac:dyDescent="0.35">
      <c r="A149" s="1" t="s">
        <v>234</v>
      </c>
      <c r="B149" s="2" t="s">
        <v>71</v>
      </c>
      <c r="C149" s="2" t="s">
        <v>56</v>
      </c>
      <c r="D149" s="2"/>
      <c r="E149" s="2">
        <v>33</v>
      </c>
      <c r="F149" s="3" t="s">
        <v>23</v>
      </c>
      <c r="G149" s="4" t="s">
        <v>36</v>
      </c>
      <c r="H149" s="4"/>
      <c r="I149" s="4">
        <v>36</v>
      </c>
      <c r="K149" t="str">
        <f t="shared" si="12"/>
        <v>B</v>
      </c>
      <c r="L149">
        <f t="shared" si="13"/>
        <v>-3</v>
      </c>
      <c r="N149" s="7">
        <v>0.57539773900242597</v>
      </c>
      <c r="O149" t="str">
        <f t="shared" si="14"/>
        <v>R</v>
      </c>
      <c r="Q149">
        <f t="shared" si="15"/>
        <v>0</v>
      </c>
    </row>
    <row r="150" spans="1:17" ht="23.4" thickBot="1" x14ac:dyDescent="0.35">
      <c r="A150" s="1" t="s">
        <v>235</v>
      </c>
      <c r="B150" s="5" t="s">
        <v>6</v>
      </c>
      <c r="C150" s="5" t="s">
        <v>96</v>
      </c>
      <c r="D150" s="5"/>
      <c r="E150" s="5">
        <v>30</v>
      </c>
      <c r="F150" s="6" t="s">
        <v>47</v>
      </c>
      <c r="G150" s="2" t="s">
        <v>92</v>
      </c>
      <c r="H150" s="2"/>
      <c r="I150" s="2">
        <v>24</v>
      </c>
      <c r="K150" t="str">
        <f t="shared" si="12"/>
        <v>R</v>
      </c>
      <c r="L150">
        <f t="shared" si="13"/>
        <v>6</v>
      </c>
      <c r="N150" s="7">
        <v>0.40161651010795302</v>
      </c>
      <c r="O150" t="str">
        <f t="shared" si="14"/>
        <v>R</v>
      </c>
      <c r="Q150">
        <f t="shared" si="15"/>
        <v>1</v>
      </c>
    </row>
    <row r="151" spans="1:17" ht="23.4" thickBot="1" x14ac:dyDescent="0.35">
      <c r="A151" s="1" t="s">
        <v>236</v>
      </c>
      <c r="B151" s="5" t="s">
        <v>75</v>
      </c>
      <c r="C151" s="5" t="s">
        <v>27</v>
      </c>
      <c r="D151" s="5"/>
      <c r="E151" s="5">
        <v>40</v>
      </c>
      <c r="F151" s="6" t="s">
        <v>63</v>
      </c>
      <c r="G151" s="2" t="s">
        <v>17</v>
      </c>
      <c r="H151" s="2"/>
      <c r="I151" s="2">
        <v>0</v>
      </c>
      <c r="K151" t="str">
        <f t="shared" si="12"/>
        <v>R</v>
      </c>
      <c r="L151">
        <f t="shared" si="13"/>
        <v>40</v>
      </c>
      <c r="N151" s="7">
        <v>1.1669080124483</v>
      </c>
      <c r="O151" t="str">
        <f t="shared" si="14"/>
        <v>R</v>
      </c>
      <c r="Q151">
        <f t="shared" si="15"/>
        <v>1</v>
      </c>
    </row>
    <row r="152" spans="1:17" ht="23.4" thickBot="1" x14ac:dyDescent="0.35">
      <c r="A152" s="1" t="s">
        <v>237</v>
      </c>
      <c r="B152" s="5" t="s">
        <v>82</v>
      </c>
      <c r="C152" s="5" t="s">
        <v>100</v>
      </c>
      <c r="D152" s="5"/>
      <c r="E152" s="5">
        <v>33</v>
      </c>
      <c r="F152" s="6" t="s">
        <v>78</v>
      </c>
      <c r="G152" s="2" t="s">
        <v>70</v>
      </c>
      <c r="H152" s="2"/>
      <c r="I152" s="2">
        <v>27</v>
      </c>
      <c r="K152" t="str">
        <f t="shared" si="12"/>
        <v>R</v>
      </c>
      <c r="L152">
        <f t="shared" si="13"/>
        <v>6</v>
      </c>
      <c r="N152" s="7">
        <v>-2.1511233185275098E-2</v>
      </c>
      <c r="O152" t="str">
        <f t="shared" si="14"/>
        <v>B</v>
      </c>
      <c r="Q152">
        <f t="shared" si="15"/>
        <v>0</v>
      </c>
    </row>
    <row r="153" spans="1:17" ht="23.4" thickBot="1" x14ac:dyDescent="0.35">
      <c r="A153" s="1" t="s">
        <v>238</v>
      </c>
      <c r="B153" s="5" t="s">
        <v>81</v>
      </c>
      <c r="C153" s="5" t="s">
        <v>48</v>
      </c>
      <c r="D153" s="5"/>
      <c r="E153" s="5">
        <v>26</v>
      </c>
      <c r="F153" s="6" t="s">
        <v>72</v>
      </c>
      <c r="G153" s="2" t="s">
        <v>11</v>
      </c>
      <c r="H153" s="2"/>
      <c r="I153" s="2">
        <v>22</v>
      </c>
      <c r="K153" t="str">
        <f t="shared" si="12"/>
        <v>R</v>
      </c>
      <c r="L153">
        <f t="shared" si="13"/>
        <v>4</v>
      </c>
      <c r="N153" s="7">
        <v>1.56583463162561</v>
      </c>
      <c r="O153" t="str">
        <f t="shared" si="14"/>
        <v>R</v>
      </c>
      <c r="Q153">
        <f t="shared" si="15"/>
        <v>1</v>
      </c>
    </row>
    <row r="154" spans="1:17" ht="23.4" thickBot="1" x14ac:dyDescent="0.35">
      <c r="A154" s="1" t="s">
        <v>239</v>
      </c>
      <c r="B154" s="2" t="s">
        <v>8</v>
      </c>
      <c r="C154" s="2" t="s">
        <v>31</v>
      </c>
      <c r="D154" s="2"/>
      <c r="E154" s="2">
        <v>21</v>
      </c>
      <c r="F154" s="3" t="s">
        <v>52</v>
      </c>
      <c r="G154" s="4" t="s">
        <v>12</v>
      </c>
      <c r="H154" s="4"/>
      <c r="I154" s="4">
        <v>44</v>
      </c>
      <c r="K154" t="str">
        <f t="shared" si="12"/>
        <v>B</v>
      </c>
      <c r="L154">
        <f t="shared" si="13"/>
        <v>-23</v>
      </c>
      <c r="N154" s="7">
        <v>-0.226816299537797</v>
      </c>
      <c r="O154" t="str">
        <f t="shared" si="14"/>
        <v>B</v>
      </c>
      <c r="Q154">
        <f t="shared" si="15"/>
        <v>1</v>
      </c>
    </row>
    <row r="155" spans="1:17" ht="23.4" thickBot="1" x14ac:dyDescent="0.35">
      <c r="A155" s="1" t="s">
        <v>240</v>
      </c>
      <c r="B155" s="5" t="s">
        <v>62</v>
      </c>
      <c r="C155" s="5" t="s">
        <v>45</v>
      </c>
      <c r="D155" s="5"/>
      <c r="E155" s="5">
        <v>21</v>
      </c>
      <c r="F155" s="6" t="s">
        <v>103</v>
      </c>
      <c r="G155" s="2" t="s">
        <v>40</v>
      </c>
      <c r="H155" s="2"/>
      <c r="I155" s="2">
        <v>17</v>
      </c>
      <c r="K155" t="str">
        <f t="shared" si="12"/>
        <v>R</v>
      </c>
      <c r="L155">
        <f t="shared" si="13"/>
        <v>4</v>
      </c>
      <c r="N155" s="7">
        <v>0.181607258772673</v>
      </c>
      <c r="O155" t="str">
        <f t="shared" si="14"/>
        <v>R</v>
      </c>
      <c r="Q155">
        <f t="shared" si="15"/>
        <v>1</v>
      </c>
    </row>
    <row r="156" spans="1:17" ht="23.4" thickBot="1" x14ac:dyDescent="0.35">
      <c r="A156" s="1" t="s">
        <v>241</v>
      </c>
      <c r="B156" s="2" t="s">
        <v>66</v>
      </c>
      <c r="C156" s="2" t="s">
        <v>80</v>
      </c>
      <c r="D156" s="2"/>
      <c r="E156" s="2">
        <v>15</v>
      </c>
      <c r="F156" s="3" t="s">
        <v>50</v>
      </c>
      <c r="G156" s="4" t="s">
        <v>32</v>
      </c>
      <c r="H156" s="4"/>
      <c r="I156" s="4">
        <v>34</v>
      </c>
      <c r="K156" t="str">
        <f t="shared" si="12"/>
        <v>B</v>
      </c>
      <c r="L156">
        <f t="shared" si="13"/>
        <v>-19</v>
      </c>
      <c r="N156" s="7">
        <v>-0.28911108049627898</v>
      </c>
      <c r="O156" t="str">
        <f t="shared" si="14"/>
        <v>B</v>
      </c>
      <c r="Q156">
        <f t="shared" si="15"/>
        <v>1</v>
      </c>
    </row>
    <row r="157" spans="1:17" ht="23.4" thickBot="1" x14ac:dyDescent="0.35">
      <c r="A157" s="1" t="s">
        <v>242</v>
      </c>
      <c r="B157" s="5" t="s">
        <v>76</v>
      </c>
      <c r="C157" s="5" t="s">
        <v>73</v>
      </c>
      <c r="D157" s="5"/>
      <c r="E157" s="5">
        <v>34</v>
      </c>
      <c r="F157" s="6" t="s">
        <v>68</v>
      </c>
      <c r="G157" s="2" t="s">
        <v>90</v>
      </c>
      <c r="H157" s="2"/>
      <c r="I157" s="2">
        <v>16</v>
      </c>
      <c r="K157" t="str">
        <f t="shared" si="12"/>
        <v>R</v>
      </c>
      <c r="L157">
        <f t="shared" si="13"/>
        <v>18</v>
      </c>
      <c r="N157" s="7">
        <v>-0.13377051289619299</v>
      </c>
      <c r="O157" t="str">
        <f t="shared" si="14"/>
        <v>B</v>
      </c>
      <c r="Q157">
        <f t="shared" si="15"/>
        <v>0</v>
      </c>
    </row>
    <row r="158" spans="1:17" ht="23.4" thickBot="1" x14ac:dyDescent="0.35">
      <c r="A158" s="1" t="s">
        <v>243</v>
      </c>
      <c r="B158" s="5" t="s">
        <v>13</v>
      </c>
      <c r="C158" s="5" t="s">
        <v>77</v>
      </c>
      <c r="D158" s="5"/>
      <c r="E158" s="5">
        <v>28</v>
      </c>
      <c r="F158" s="6" t="s">
        <v>22</v>
      </c>
      <c r="G158" s="2" t="s">
        <v>18</v>
      </c>
      <c r="H158" s="2"/>
      <c r="I158" s="2">
        <v>23</v>
      </c>
      <c r="K158" t="str">
        <f t="shared" si="12"/>
        <v>R</v>
      </c>
      <c r="L158">
        <f t="shared" si="13"/>
        <v>5</v>
      </c>
      <c r="N158" s="7">
        <v>-0.96016878004580297</v>
      </c>
      <c r="O158" t="str">
        <f t="shared" si="14"/>
        <v>B</v>
      </c>
      <c r="Q158">
        <f t="shared" si="15"/>
        <v>0</v>
      </c>
    </row>
    <row r="159" spans="1:17" ht="23.4" thickBot="1" x14ac:dyDescent="0.35">
      <c r="A159" s="1" t="s">
        <v>244</v>
      </c>
      <c r="B159" s="5" t="s">
        <v>35</v>
      </c>
      <c r="C159" s="5" t="s">
        <v>88</v>
      </c>
      <c r="D159" s="5"/>
      <c r="E159" s="5">
        <v>37</v>
      </c>
      <c r="F159" s="6" t="s">
        <v>106</v>
      </c>
      <c r="G159" s="2" t="s">
        <v>58</v>
      </c>
      <c r="H159" s="2"/>
      <c r="I159" s="2">
        <v>14</v>
      </c>
      <c r="K159" t="str">
        <f t="shared" si="12"/>
        <v>R</v>
      </c>
      <c r="L159">
        <f t="shared" si="13"/>
        <v>23</v>
      </c>
      <c r="N159" s="7">
        <v>1.0304968937618999</v>
      </c>
      <c r="O159" t="str">
        <f t="shared" si="14"/>
        <v>R</v>
      </c>
      <c r="Q159">
        <f t="shared" si="15"/>
        <v>1</v>
      </c>
    </row>
    <row r="160" spans="1:17" ht="23.4" thickBot="1" x14ac:dyDescent="0.35">
      <c r="A160" s="1" t="s">
        <v>245</v>
      </c>
      <c r="B160" s="2" t="s">
        <v>38</v>
      </c>
      <c r="C160" s="2" t="s">
        <v>86</v>
      </c>
      <c r="D160" s="2"/>
      <c r="E160" s="2">
        <v>35</v>
      </c>
      <c r="F160" s="3" t="s">
        <v>101</v>
      </c>
      <c r="G160" s="4" t="s">
        <v>25</v>
      </c>
      <c r="H160" s="4"/>
      <c r="I160" s="4">
        <v>36</v>
      </c>
      <c r="K160" t="str">
        <f t="shared" si="12"/>
        <v>B</v>
      </c>
      <c r="L160">
        <f t="shared" si="13"/>
        <v>-1</v>
      </c>
      <c r="N160" s="7">
        <v>-6.4952092138739398E-2</v>
      </c>
      <c r="O160" t="str">
        <f t="shared" si="14"/>
        <v>B</v>
      </c>
      <c r="Q160">
        <f t="shared" si="15"/>
        <v>1</v>
      </c>
    </row>
    <row r="161" spans="1:17" ht="23.4" thickBot="1" x14ac:dyDescent="0.35">
      <c r="A161" s="1" t="s">
        <v>246</v>
      </c>
      <c r="B161" s="5" t="s">
        <v>85</v>
      </c>
      <c r="C161" s="5" t="s">
        <v>41</v>
      </c>
      <c r="D161" s="5"/>
      <c r="E161" s="5">
        <v>33</v>
      </c>
      <c r="F161" s="6" t="s">
        <v>53</v>
      </c>
      <c r="G161" s="2" t="s">
        <v>21</v>
      </c>
      <c r="H161" s="2"/>
      <c r="I161" s="2">
        <v>32</v>
      </c>
      <c r="K161" t="str">
        <f t="shared" si="12"/>
        <v>R</v>
      </c>
      <c r="L161">
        <f t="shared" si="13"/>
        <v>1</v>
      </c>
      <c r="N161" s="7">
        <v>-0.53915005677812</v>
      </c>
      <c r="O161" t="str">
        <f t="shared" si="14"/>
        <v>B</v>
      </c>
      <c r="Q161">
        <f t="shared" si="15"/>
        <v>0</v>
      </c>
    </row>
    <row r="162" spans="1:17" ht="23.4" thickBot="1" x14ac:dyDescent="0.35">
      <c r="A162" s="1" t="s">
        <v>247</v>
      </c>
      <c r="B162" s="2" t="s">
        <v>5</v>
      </c>
      <c r="C162" s="2" t="s">
        <v>55</v>
      </c>
      <c r="D162" s="2"/>
      <c r="E162" s="2">
        <v>22</v>
      </c>
      <c r="F162" s="3" t="s">
        <v>95</v>
      </c>
      <c r="G162" s="4" t="s">
        <v>51</v>
      </c>
      <c r="H162" s="4"/>
      <c r="I162" s="4">
        <v>34</v>
      </c>
      <c r="K162" t="str">
        <f t="shared" si="12"/>
        <v>B</v>
      </c>
      <c r="L162">
        <f t="shared" si="13"/>
        <v>-12</v>
      </c>
      <c r="N162" s="7">
        <v>-0.98468929869213695</v>
      </c>
      <c r="O162" t="str">
        <f t="shared" si="14"/>
        <v>B</v>
      </c>
      <c r="Q162">
        <f t="shared" si="15"/>
        <v>1</v>
      </c>
    </row>
    <row r="163" spans="1:17" ht="23.4" thickBot="1" x14ac:dyDescent="0.35">
      <c r="A163" s="1" t="s">
        <v>248</v>
      </c>
      <c r="B163" s="2" t="s">
        <v>93</v>
      </c>
      <c r="C163" s="2" t="s">
        <v>16</v>
      </c>
      <c r="D163" s="2"/>
      <c r="E163" s="2">
        <v>31</v>
      </c>
      <c r="F163" s="3" t="s">
        <v>37</v>
      </c>
      <c r="G163" s="4" t="s">
        <v>97</v>
      </c>
      <c r="H163" s="4"/>
      <c r="I163" s="4">
        <v>34</v>
      </c>
      <c r="K163" t="str">
        <f t="shared" si="12"/>
        <v>B</v>
      </c>
      <c r="L163">
        <f t="shared" si="13"/>
        <v>-3</v>
      </c>
      <c r="N163" s="7">
        <v>-0.72360314920373503</v>
      </c>
      <c r="O163" t="str">
        <f t="shared" si="14"/>
        <v>B</v>
      </c>
      <c r="Q163">
        <f t="shared" si="15"/>
        <v>1</v>
      </c>
    </row>
    <row r="164" spans="1:17" ht="23.4" thickBot="1" x14ac:dyDescent="0.35">
      <c r="A164" s="1" t="s">
        <v>249</v>
      </c>
      <c r="B164" s="2" t="s">
        <v>60</v>
      </c>
      <c r="C164" s="2" t="s">
        <v>107</v>
      </c>
      <c r="D164" s="2"/>
      <c r="E164" s="2">
        <v>20</v>
      </c>
      <c r="F164" s="3" t="s">
        <v>91</v>
      </c>
      <c r="G164" s="4" t="s">
        <v>43</v>
      </c>
      <c r="H164" s="4"/>
      <c r="I164" s="4">
        <v>25</v>
      </c>
      <c r="K164" t="str">
        <f t="shared" si="12"/>
        <v>B</v>
      </c>
      <c r="L164">
        <f t="shared" si="13"/>
        <v>-5</v>
      </c>
      <c r="N164" s="7">
        <v>-1.23790977946758</v>
      </c>
      <c r="O164" t="str">
        <f t="shared" si="14"/>
        <v>B</v>
      </c>
      <c r="Q164">
        <f t="shared" si="15"/>
        <v>1</v>
      </c>
    </row>
    <row r="165" spans="1:17" ht="23.4" thickBot="1" x14ac:dyDescent="0.35">
      <c r="A165" s="1" t="s">
        <v>250</v>
      </c>
      <c r="B165" s="2" t="s">
        <v>87</v>
      </c>
      <c r="C165" s="2" t="s">
        <v>10</v>
      </c>
      <c r="D165" s="2"/>
      <c r="E165" s="2">
        <v>19</v>
      </c>
      <c r="F165" s="3" t="s">
        <v>15</v>
      </c>
      <c r="G165" s="4" t="s">
        <v>102</v>
      </c>
      <c r="H165" s="4"/>
      <c r="I165" s="4">
        <v>33</v>
      </c>
      <c r="K165" t="str">
        <f t="shared" si="12"/>
        <v>B</v>
      </c>
      <c r="L165">
        <f t="shared" si="13"/>
        <v>-14</v>
      </c>
      <c r="N165" s="7">
        <v>-0.37963701141696299</v>
      </c>
      <c r="O165" t="str">
        <f t="shared" si="14"/>
        <v>B</v>
      </c>
      <c r="Q165">
        <f t="shared" si="15"/>
        <v>1</v>
      </c>
    </row>
    <row r="166" spans="1:17" ht="23.4" thickBot="1" x14ac:dyDescent="0.35">
      <c r="A166" s="1" t="s">
        <v>251</v>
      </c>
      <c r="B166" s="5" t="s">
        <v>28</v>
      </c>
      <c r="C166" s="5" t="s">
        <v>65</v>
      </c>
      <c r="D166" s="5"/>
      <c r="E166" s="5">
        <v>29</v>
      </c>
      <c r="F166" s="6" t="s">
        <v>61</v>
      </c>
      <c r="G166" s="2" t="s">
        <v>30</v>
      </c>
      <c r="H166" s="2"/>
      <c r="I166" s="2">
        <v>20</v>
      </c>
      <c r="K166" t="str">
        <f t="shared" si="12"/>
        <v>R</v>
      </c>
      <c r="L166">
        <f t="shared" si="13"/>
        <v>9</v>
      </c>
      <c r="N166" s="7">
        <v>-0.85284435092296595</v>
      </c>
      <c r="O166" t="str">
        <f t="shared" si="14"/>
        <v>B</v>
      </c>
      <c r="Q166">
        <f t="shared" si="15"/>
        <v>0</v>
      </c>
    </row>
    <row r="167" spans="1:17" ht="23.4" thickBot="1" x14ac:dyDescent="0.35">
      <c r="A167" s="1" t="s">
        <v>252</v>
      </c>
      <c r="B167" s="5" t="s">
        <v>67</v>
      </c>
      <c r="C167" s="5" t="s">
        <v>42</v>
      </c>
      <c r="D167" s="5"/>
      <c r="E167" s="5">
        <v>46</v>
      </c>
      <c r="F167" s="6" t="s">
        <v>98</v>
      </c>
      <c r="G167" s="2" t="s">
        <v>26</v>
      </c>
      <c r="H167" s="2"/>
      <c r="I167" s="2">
        <v>26</v>
      </c>
      <c r="K167" t="str">
        <f t="shared" si="12"/>
        <v>R</v>
      </c>
      <c r="L167">
        <f t="shared" si="13"/>
        <v>20</v>
      </c>
      <c r="N167" s="7">
        <v>0.95128765636847201</v>
      </c>
      <c r="O167" t="str">
        <f t="shared" si="14"/>
        <v>R</v>
      </c>
      <c r="Q167">
        <f t="shared" si="15"/>
        <v>1</v>
      </c>
    </row>
    <row r="168" spans="1:17" ht="23.4" thickBot="1" x14ac:dyDescent="0.35">
      <c r="A168" s="1" t="s">
        <v>253</v>
      </c>
      <c r="B168" s="5" t="s">
        <v>68</v>
      </c>
      <c r="C168" s="5" t="s">
        <v>45</v>
      </c>
      <c r="D168" s="5"/>
      <c r="E168" s="5">
        <v>30</v>
      </c>
      <c r="F168" s="6" t="s">
        <v>31</v>
      </c>
      <c r="G168" s="2" t="s">
        <v>71</v>
      </c>
      <c r="H168" s="2"/>
      <c r="I168" s="2">
        <v>6</v>
      </c>
      <c r="K168" t="str">
        <f t="shared" si="12"/>
        <v>R</v>
      </c>
      <c r="L168">
        <f t="shared" si="13"/>
        <v>24</v>
      </c>
      <c r="N168" s="7">
        <v>0.70540743792584604</v>
      </c>
      <c r="O168" t="str">
        <f t="shared" si="14"/>
        <v>R</v>
      </c>
      <c r="Q168">
        <f t="shared" si="15"/>
        <v>1</v>
      </c>
    </row>
    <row r="169" spans="1:17" ht="23.4" thickBot="1" x14ac:dyDescent="0.35">
      <c r="A169" s="1" t="s">
        <v>254</v>
      </c>
      <c r="B169" s="5" t="s">
        <v>18</v>
      </c>
      <c r="C169" s="5" t="s">
        <v>20</v>
      </c>
      <c r="D169" s="5"/>
      <c r="E169" s="5">
        <v>41</v>
      </c>
      <c r="F169" s="6" t="s">
        <v>90</v>
      </c>
      <c r="G169" s="2" t="s">
        <v>62</v>
      </c>
      <c r="H169" s="2"/>
      <c r="I169" s="2">
        <v>28</v>
      </c>
      <c r="K169" t="str">
        <f t="shared" si="12"/>
        <v>R</v>
      </c>
      <c r="L169">
        <f t="shared" si="13"/>
        <v>13</v>
      </c>
      <c r="N169" s="7">
        <v>0.85543955921997605</v>
      </c>
      <c r="O169" t="str">
        <f t="shared" si="14"/>
        <v>R</v>
      </c>
      <c r="Q169">
        <f t="shared" si="15"/>
        <v>1</v>
      </c>
    </row>
    <row r="170" spans="1:17" ht="23.4" thickBot="1" x14ac:dyDescent="0.35">
      <c r="A170" s="1" t="s">
        <v>255</v>
      </c>
      <c r="B170" s="5" t="s">
        <v>23</v>
      </c>
      <c r="C170" s="5" t="s">
        <v>11</v>
      </c>
      <c r="D170" s="5"/>
      <c r="E170" s="5">
        <v>40</v>
      </c>
      <c r="F170" s="6" t="s">
        <v>38</v>
      </c>
      <c r="G170" s="2" t="s">
        <v>17</v>
      </c>
      <c r="H170" s="2"/>
      <c r="I170" s="2">
        <v>26</v>
      </c>
      <c r="K170" t="str">
        <f t="shared" si="12"/>
        <v>R</v>
      </c>
      <c r="L170">
        <f t="shared" si="13"/>
        <v>14</v>
      </c>
      <c r="N170" s="7">
        <v>0.46713075258869402</v>
      </c>
      <c r="O170" t="str">
        <f t="shared" si="14"/>
        <v>R</v>
      </c>
      <c r="Q170">
        <f t="shared" si="15"/>
        <v>1</v>
      </c>
    </row>
    <row r="171" spans="1:17" ht="23.4" thickBot="1" x14ac:dyDescent="0.35">
      <c r="A171" s="1" t="s">
        <v>256</v>
      </c>
      <c r="B171" s="5" t="s">
        <v>53</v>
      </c>
      <c r="C171" s="5" t="s">
        <v>76</v>
      </c>
      <c r="D171" s="5"/>
      <c r="E171" s="5">
        <v>45</v>
      </c>
      <c r="F171" s="6" t="s">
        <v>57</v>
      </c>
      <c r="G171" s="2" t="s">
        <v>8</v>
      </c>
      <c r="H171" s="2"/>
      <c r="I171" s="2">
        <v>20</v>
      </c>
      <c r="K171" t="str">
        <f t="shared" si="12"/>
        <v>R</v>
      </c>
      <c r="L171">
        <f t="shared" si="13"/>
        <v>25</v>
      </c>
      <c r="N171" s="7">
        <v>0.25537980603184002</v>
      </c>
      <c r="O171" t="str">
        <f t="shared" si="14"/>
        <v>R</v>
      </c>
      <c r="Q171">
        <f t="shared" si="15"/>
        <v>1</v>
      </c>
    </row>
    <row r="172" spans="1:17" ht="23.4" thickBot="1" x14ac:dyDescent="0.35">
      <c r="A172" s="1" t="s">
        <v>257</v>
      </c>
      <c r="B172" s="5" t="s">
        <v>27</v>
      </c>
      <c r="C172" s="5" t="s">
        <v>106</v>
      </c>
      <c r="D172" s="5"/>
      <c r="E172" s="5">
        <v>46</v>
      </c>
      <c r="F172" s="6" t="s">
        <v>48</v>
      </c>
      <c r="G172" s="2" t="s">
        <v>6</v>
      </c>
      <c r="H172" s="2"/>
      <c r="I172" s="2">
        <v>27</v>
      </c>
      <c r="K172" t="str">
        <f t="shared" si="12"/>
        <v>R</v>
      </c>
      <c r="L172">
        <f t="shared" si="13"/>
        <v>19</v>
      </c>
      <c r="N172" s="7">
        <v>-3.65816093321484E-2</v>
      </c>
      <c r="O172" t="str">
        <f t="shared" si="14"/>
        <v>B</v>
      </c>
      <c r="Q172">
        <f t="shared" si="15"/>
        <v>0</v>
      </c>
    </row>
    <row r="173" spans="1:17" ht="23.4" thickBot="1" x14ac:dyDescent="0.35">
      <c r="A173" s="1" t="s">
        <v>258</v>
      </c>
      <c r="B173" s="5" t="s">
        <v>93</v>
      </c>
      <c r="C173" s="5" t="s">
        <v>41</v>
      </c>
      <c r="D173" s="5"/>
      <c r="E173" s="5">
        <v>37</v>
      </c>
      <c r="F173" s="6" t="s">
        <v>81</v>
      </c>
      <c r="G173" s="2" t="s">
        <v>52</v>
      </c>
      <c r="H173" s="2"/>
      <c r="I173" s="2">
        <v>23</v>
      </c>
      <c r="K173" t="str">
        <f t="shared" si="12"/>
        <v>R</v>
      </c>
      <c r="L173">
        <f t="shared" si="13"/>
        <v>14</v>
      </c>
      <c r="N173" s="7">
        <v>-0.65088942895845703</v>
      </c>
      <c r="O173" t="str">
        <f t="shared" si="14"/>
        <v>B</v>
      </c>
      <c r="Q173">
        <f t="shared" si="15"/>
        <v>0</v>
      </c>
    </row>
    <row r="174" spans="1:17" ht="23.4" thickBot="1" x14ac:dyDescent="0.35">
      <c r="A174" s="1" t="s">
        <v>259</v>
      </c>
      <c r="B174" s="2" t="s">
        <v>37</v>
      </c>
      <c r="C174" s="2" t="s">
        <v>70</v>
      </c>
      <c r="D174" s="2"/>
      <c r="E174" s="2">
        <v>30</v>
      </c>
      <c r="F174" s="3" t="s">
        <v>107</v>
      </c>
      <c r="G174" s="4" t="s">
        <v>96</v>
      </c>
      <c r="H174" s="4"/>
      <c r="I174" s="4">
        <v>40</v>
      </c>
      <c r="K174" t="str">
        <f t="shared" si="12"/>
        <v>B</v>
      </c>
      <c r="L174">
        <f t="shared" si="13"/>
        <v>-10</v>
      </c>
      <c r="N174" s="7">
        <v>-0.85719274168927795</v>
      </c>
      <c r="O174" t="str">
        <f t="shared" si="14"/>
        <v>B</v>
      </c>
      <c r="Q174">
        <f t="shared" si="15"/>
        <v>1</v>
      </c>
    </row>
    <row r="175" spans="1:17" ht="23.4" thickBot="1" x14ac:dyDescent="0.35">
      <c r="A175" s="1" t="s">
        <v>260</v>
      </c>
      <c r="B175" s="5" t="s">
        <v>86</v>
      </c>
      <c r="C175" s="5" t="s">
        <v>102</v>
      </c>
      <c r="D175" s="5"/>
      <c r="E175" s="5">
        <v>38</v>
      </c>
      <c r="F175" s="6" t="s">
        <v>66</v>
      </c>
      <c r="G175" s="2" t="s">
        <v>75</v>
      </c>
      <c r="H175" s="2"/>
      <c r="I175" s="2">
        <v>20</v>
      </c>
      <c r="K175" t="str">
        <f t="shared" si="12"/>
        <v>R</v>
      </c>
      <c r="L175">
        <f t="shared" si="13"/>
        <v>18</v>
      </c>
      <c r="N175" s="7">
        <v>0.34681771402022998</v>
      </c>
      <c r="O175" t="str">
        <f t="shared" si="14"/>
        <v>R</v>
      </c>
      <c r="Q175">
        <f t="shared" si="15"/>
        <v>1</v>
      </c>
    </row>
    <row r="176" spans="1:17" ht="23.4" thickBot="1" x14ac:dyDescent="0.35">
      <c r="A176" s="1" t="s">
        <v>261</v>
      </c>
      <c r="B176" s="5" t="s">
        <v>50</v>
      </c>
      <c r="C176" s="5" t="s">
        <v>15</v>
      </c>
      <c r="D176" s="5"/>
      <c r="E176" s="5">
        <v>35</v>
      </c>
      <c r="F176" s="6" t="s">
        <v>43</v>
      </c>
      <c r="G176" s="2" t="s">
        <v>103</v>
      </c>
      <c r="H176" s="2"/>
      <c r="I176" s="2">
        <v>32</v>
      </c>
      <c r="K176" t="str">
        <f t="shared" si="12"/>
        <v>R</v>
      </c>
      <c r="L176">
        <f t="shared" si="13"/>
        <v>3</v>
      </c>
      <c r="N176" s="7">
        <v>0.317057037099716</v>
      </c>
      <c r="O176" t="str">
        <f t="shared" si="14"/>
        <v>R</v>
      </c>
      <c r="Q176">
        <f t="shared" si="15"/>
        <v>1</v>
      </c>
    </row>
    <row r="177" spans="1:17" ht="23.4" thickBot="1" x14ac:dyDescent="0.35">
      <c r="A177" s="1" t="s">
        <v>262</v>
      </c>
      <c r="B177" s="2" t="s">
        <v>12</v>
      </c>
      <c r="C177" s="2" t="s">
        <v>30</v>
      </c>
      <c r="D177" s="2"/>
      <c r="E177" s="2">
        <v>10</v>
      </c>
      <c r="F177" s="3" t="s">
        <v>36</v>
      </c>
      <c r="G177" s="4" t="s">
        <v>67</v>
      </c>
      <c r="H177" s="4"/>
      <c r="I177" s="4">
        <v>30</v>
      </c>
      <c r="K177" t="str">
        <f t="shared" si="12"/>
        <v>B</v>
      </c>
      <c r="L177">
        <f t="shared" si="13"/>
        <v>-20</v>
      </c>
      <c r="N177" s="7">
        <v>-0.82579858037981002</v>
      </c>
      <c r="O177" t="str">
        <f t="shared" si="14"/>
        <v>B</v>
      </c>
      <c r="Q177">
        <f t="shared" si="15"/>
        <v>1</v>
      </c>
    </row>
    <row r="178" spans="1:17" ht="23.4" thickBot="1" x14ac:dyDescent="0.35">
      <c r="A178" s="1" t="s">
        <v>263</v>
      </c>
      <c r="B178" s="2" t="s">
        <v>13</v>
      </c>
      <c r="C178" s="2" t="s">
        <v>98</v>
      </c>
      <c r="D178" s="2"/>
      <c r="E178" s="2">
        <v>31</v>
      </c>
      <c r="F178" s="3" t="s">
        <v>33</v>
      </c>
      <c r="G178" s="4" t="s">
        <v>72</v>
      </c>
      <c r="H178" s="4"/>
      <c r="I178" s="4">
        <v>36</v>
      </c>
      <c r="K178" t="str">
        <f t="shared" si="12"/>
        <v>B</v>
      </c>
      <c r="L178">
        <f t="shared" si="13"/>
        <v>-5</v>
      </c>
      <c r="N178" s="7">
        <v>-0.54471051208167398</v>
      </c>
      <c r="O178" t="str">
        <f t="shared" si="14"/>
        <v>B</v>
      </c>
      <c r="Q178">
        <f t="shared" si="15"/>
        <v>1</v>
      </c>
    </row>
    <row r="179" spans="1:17" ht="23.4" thickBot="1" x14ac:dyDescent="0.35">
      <c r="A179" s="1" t="s">
        <v>264</v>
      </c>
      <c r="B179" s="5" t="s">
        <v>7</v>
      </c>
      <c r="C179" s="5" t="s">
        <v>42</v>
      </c>
      <c r="D179" s="5"/>
      <c r="E179" s="5">
        <v>33</v>
      </c>
      <c r="F179" s="6" t="s">
        <v>65</v>
      </c>
      <c r="G179" s="2" t="s">
        <v>83</v>
      </c>
      <c r="H179" s="2"/>
      <c r="I179" s="2">
        <v>29</v>
      </c>
      <c r="K179" t="str">
        <f t="shared" si="12"/>
        <v>R</v>
      </c>
      <c r="L179">
        <f t="shared" si="13"/>
        <v>4</v>
      </c>
      <c r="N179" s="7">
        <v>0.79595440048566002</v>
      </c>
      <c r="O179" t="str">
        <f t="shared" si="14"/>
        <v>R</v>
      </c>
      <c r="Q179">
        <f t="shared" si="15"/>
        <v>1</v>
      </c>
    </row>
    <row r="180" spans="1:17" ht="23.4" thickBot="1" x14ac:dyDescent="0.35">
      <c r="A180" s="1" t="s">
        <v>265</v>
      </c>
      <c r="B180" s="5" t="s">
        <v>97</v>
      </c>
      <c r="C180" s="5" t="s">
        <v>105</v>
      </c>
      <c r="D180" s="5"/>
      <c r="E180" s="5">
        <v>32</v>
      </c>
      <c r="F180" s="6" t="s">
        <v>51</v>
      </c>
      <c r="G180" s="2" t="s">
        <v>88</v>
      </c>
      <c r="H180" s="2"/>
      <c r="I180" s="2">
        <v>28</v>
      </c>
      <c r="K180" t="str">
        <f t="shared" si="12"/>
        <v>R</v>
      </c>
      <c r="L180">
        <f t="shared" si="13"/>
        <v>4</v>
      </c>
      <c r="N180" s="7">
        <v>-0.18252578503188999</v>
      </c>
      <c r="O180" t="str">
        <f t="shared" si="14"/>
        <v>B</v>
      </c>
      <c r="Q180">
        <f t="shared" si="15"/>
        <v>0</v>
      </c>
    </row>
    <row r="181" spans="1:17" ht="23.4" thickBot="1" x14ac:dyDescent="0.35">
      <c r="A181" s="1" t="s">
        <v>266</v>
      </c>
      <c r="B181" s="5" t="s">
        <v>82</v>
      </c>
      <c r="C181" s="5" t="s">
        <v>61</v>
      </c>
      <c r="D181" s="5"/>
      <c r="E181" s="5">
        <v>28</v>
      </c>
      <c r="F181" s="6" t="s">
        <v>95</v>
      </c>
      <c r="G181" s="2" t="s">
        <v>21</v>
      </c>
      <c r="H181" s="2"/>
      <c r="I181" s="2">
        <v>11</v>
      </c>
      <c r="K181" t="str">
        <f t="shared" si="12"/>
        <v>R</v>
      </c>
      <c r="L181">
        <f t="shared" si="13"/>
        <v>17</v>
      </c>
      <c r="N181" s="7">
        <v>0.20218324506552299</v>
      </c>
      <c r="O181" t="str">
        <f t="shared" si="14"/>
        <v>R</v>
      </c>
      <c r="Q181">
        <f t="shared" si="15"/>
        <v>1</v>
      </c>
    </row>
    <row r="182" spans="1:17" ht="23.4" thickBot="1" x14ac:dyDescent="0.35">
      <c r="A182" s="1" t="s">
        <v>267</v>
      </c>
      <c r="B182" s="2" t="s">
        <v>32</v>
      </c>
      <c r="C182" s="2" t="s">
        <v>85</v>
      </c>
      <c r="D182" s="2"/>
      <c r="E182" s="2">
        <v>34</v>
      </c>
      <c r="F182" s="3" t="s">
        <v>92</v>
      </c>
      <c r="G182" s="4" t="s">
        <v>78</v>
      </c>
      <c r="H182" s="4"/>
      <c r="I182" s="4">
        <v>37</v>
      </c>
      <c r="K182" t="str">
        <f t="shared" si="12"/>
        <v>B</v>
      </c>
      <c r="L182">
        <f t="shared" si="13"/>
        <v>-3</v>
      </c>
      <c r="N182" s="7">
        <v>-0.111715223368876</v>
      </c>
      <c r="O182" t="str">
        <f t="shared" si="14"/>
        <v>B</v>
      </c>
      <c r="Q182">
        <f t="shared" si="15"/>
        <v>1</v>
      </c>
    </row>
    <row r="183" spans="1:17" ht="23.4" thickBot="1" x14ac:dyDescent="0.35">
      <c r="A183" s="1" t="s">
        <v>268</v>
      </c>
      <c r="B183" s="5" t="s">
        <v>87</v>
      </c>
      <c r="C183" s="5" t="s">
        <v>56</v>
      </c>
      <c r="D183" s="5"/>
      <c r="E183" s="5">
        <v>42</v>
      </c>
      <c r="F183" s="6" t="s">
        <v>60</v>
      </c>
      <c r="G183" s="2" t="s">
        <v>16</v>
      </c>
      <c r="H183" s="2"/>
      <c r="I183" s="2">
        <v>19</v>
      </c>
      <c r="K183" t="str">
        <f t="shared" si="12"/>
        <v>R</v>
      </c>
      <c r="L183">
        <f t="shared" si="13"/>
        <v>23</v>
      </c>
      <c r="N183" s="7">
        <v>2.31520321182738</v>
      </c>
      <c r="O183" t="str">
        <f t="shared" si="14"/>
        <v>R</v>
      </c>
      <c r="Q183">
        <f t="shared" si="15"/>
        <v>1</v>
      </c>
    </row>
    <row r="184" spans="1:17" ht="23.4" thickBot="1" x14ac:dyDescent="0.35">
      <c r="A184" s="1" t="s">
        <v>269</v>
      </c>
      <c r="B184" s="2" t="s">
        <v>91</v>
      </c>
      <c r="C184" s="2" t="s">
        <v>40</v>
      </c>
      <c r="D184" s="2"/>
      <c r="E184" s="2">
        <v>19</v>
      </c>
      <c r="F184" s="3" t="s">
        <v>35</v>
      </c>
      <c r="G184" s="4" t="s">
        <v>25</v>
      </c>
      <c r="H184" s="4"/>
      <c r="I184" s="4">
        <v>35</v>
      </c>
      <c r="K184" t="str">
        <f t="shared" si="12"/>
        <v>B</v>
      </c>
      <c r="L184">
        <f t="shared" si="13"/>
        <v>-16</v>
      </c>
      <c r="N184" s="7">
        <v>0.123602033064188</v>
      </c>
      <c r="O184" t="str">
        <f t="shared" si="14"/>
        <v>R</v>
      </c>
      <c r="Q184">
        <f t="shared" si="15"/>
        <v>0</v>
      </c>
    </row>
    <row r="185" spans="1:17" ht="23.4" thickBot="1" x14ac:dyDescent="0.35">
      <c r="A185" s="1" t="s">
        <v>270</v>
      </c>
      <c r="B185" s="5" t="s">
        <v>22</v>
      </c>
      <c r="C185" s="5" t="s">
        <v>28</v>
      </c>
      <c r="D185" s="5"/>
      <c r="E185" s="5">
        <v>22</v>
      </c>
      <c r="F185" s="6" t="s">
        <v>46</v>
      </c>
      <c r="G185" s="2" t="s">
        <v>55</v>
      </c>
      <c r="H185" s="2"/>
      <c r="I185" s="2">
        <v>20</v>
      </c>
      <c r="K185" t="str">
        <f t="shared" si="12"/>
        <v>R</v>
      </c>
      <c r="L185">
        <f t="shared" si="13"/>
        <v>2</v>
      </c>
      <c r="N185" s="7">
        <v>0.74953012269316099</v>
      </c>
      <c r="O185" t="str">
        <f t="shared" si="14"/>
        <v>R</v>
      </c>
      <c r="Q185">
        <f t="shared" si="15"/>
        <v>1</v>
      </c>
    </row>
    <row r="186" spans="1:17" ht="23.4" thickBot="1" x14ac:dyDescent="0.35">
      <c r="A186" s="1" t="s">
        <v>271</v>
      </c>
      <c r="B186" s="2" t="s">
        <v>58</v>
      </c>
      <c r="C186" s="2" t="s">
        <v>26</v>
      </c>
      <c r="D186" s="2"/>
      <c r="E186" s="2">
        <v>14</v>
      </c>
      <c r="F186" s="3" t="s">
        <v>73</v>
      </c>
      <c r="G186" s="4" t="s">
        <v>47</v>
      </c>
      <c r="H186" s="4"/>
      <c r="I186" s="4">
        <v>37</v>
      </c>
      <c r="K186" t="str">
        <f t="shared" si="12"/>
        <v>B</v>
      </c>
      <c r="L186">
        <f t="shared" si="13"/>
        <v>-23</v>
      </c>
      <c r="N186" s="7">
        <v>-0.37455889893785699</v>
      </c>
      <c r="O186" t="str">
        <f t="shared" si="14"/>
        <v>B</v>
      </c>
      <c r="Q186">
        <f t="shared" si="15"/>
        <v>1</v>
      </c>
    </row>
    <row r="187" spans="1:17" ht="23.4" thickBot="1" x14ac:dyDescent="0.35">
      <c r="A187" s="1" t="s">
        <v>272</v>
      </c>
      <c r="B187" s="2" t="s">
        <v>5</v>
      </c>
      <c r="C187" s="2" t="s">
        <v>10</v>
      </c>
      <c r="D187" s="2"/>
      <c r="E187" s="2">
        <v>33</v>
      </c>
      <c r="F187" s="3" t="s">
        <v>100</v>
      </c>
      <c r="G187" s="4" t="s">
        <v>80</v>
      </c>
      <c r="H187" s="4"/>
      <c r="I187" s="4">
        <v>42</v>
      </c>
      <c r="K187" t="str">
        <f t="shared" si="12"/>
        <v>B</v>
      </c>
      <c r="L187">
        <f t="shared" si="13"/>
        <v>-9</v>
      </c>
      <c r="N187" s="7">
        <v>-1.04829492641626</v>
      </c>
      <c r="O187" t="str">
        <f t="shared" si="14"/>
        <v>B</v>
      </c>
      <c r="Q187">
        <f t="shared" si="15"/>
        <v>1</v>
      </c>
    </row>
    <row r="188" spans="1:17" ht="23.4" thickBot="1" x14ac:dyDescent="0.35">
      <c r="A188" s="1" t="s">
        <v>273</v>
      </c>
      <c r="B188" s="2" t="s">
        <v>63</v>
      </c>
      <c r="C188" s="2" t="s">
        <v>101</v>
      </c>
      <c r="D188" s="2"/>
      <c r="E188" s="2">
        <v>30</v>
      </c>
      <c r="F188" s="6" t="s">
        <v>77</v>
      </c>
      <c r="G188" s="2" t="s">
        <v>68</v>
      </c>
      <c r="H188" s="2"/>
      <c r="I188" s="2">
        <v>30</v>
      </c>
      <c r="K188" t="str">
        <f t="shared" si="12"/>
        <v>D</v>
      </c>
      <c r="L188">
        <f t="shared" si="13"/>
        <v>0</v>
      </c>
      <c r="N188" s="7">
        <v>1.00333438679854</v>
      </c>
      <c r="O188" t="str">
        <f t="shared" si="14"/>
        <v>R</v>
      </c>
      <c r="Q188">
        <f t="shared" si="15"/>
        <v>0</v>
      </c>
    </row>
    <row r="189" spans="1:17" ht="23.4" thickBot="1" x14ac:dyDescent="0.35">
      <c r="A189" s="1" t="s">
        <v>274</v>
      </c>
      <c r="B189" s="2" t="s">
        <v>90</v>
      </c>
      <c r="C189" s="2" t="s">
        <v>8</v>
      </c>
      <c r="D189" s="2"/>
      <c r="E189" s="2">
        <v>6</v>
      </c>
      <c r="F189" s="3" t="s">
        <v>42</v>
      </c>
      <c r="G189" s="4" t="s">
        <v>106</v>
      </c>
      <c r="H189" s="4"/>
      <c r="I189" s="4">
        <v>31</v>
      </c>
      <c r="K189" t="str">
        <f t="shared" si="12"/>
        <v>B</v>
      </c>
      <c r="L189">
        <f t="shared" si="13"/>
        <v>-25</v>
      </c>
      <c r="N189" s="7">
        <v>-0.39824538511887297</v>
      </c>
      <c r="O189" t="str">
        <f t="shared" si="14"/>
        <v>B</v>
      </c>
      <c r="Q189">
        <f t="shared" si="15"/>
        <v>1</v>
      </c>
    </row>
    <row r="190" spans="1:17" ht="23.4" thickBot="1" x14ac:dyDescent="0.35">
      <c r="A190" s="1" t="s">
        <v>275</v>
      </c>
      <c r="B190" s="5" t="s">
        <v>20</v>
      </c>
      <c r="C190" s="5" t="s">
        <v>86</v>
      </c>
      <c r="D190" s="5"/>
      <c r="E190" s="5">
        <v>36</v>
      </c>
      <c r="F190" s="6" t="s">
        <v>50</v>
      </c>
      <c r="G190" s="2" t="s">
        <v>6</v>
      </c>
      <c r="H190" s="2"/>
      <c r="I190" s="2">
        <v>11</v>
      </c>
      <c r="K190" t="str">
        <f t="shared" si="12"/>
        <v>R</v>
      </c>
      <c r="L190">
        <f t="shared" si="13"/>
        <v>25</v>
      </c>
      <c r="N190" s="7">
        <v>1.1834497983793999</v>
      </c>
      <c r="O190" t="str">
        <f t="shared" si="14"/>
        <v>R</v>
      </c>
      <c r="Q190">
        <f t="shared" si="15"/>
        <v>1</v>
      </c>
    </row>
    <row r="191" spans="1:17" ht="23.4" thickBot="1" x14ac:dyDescent="0.35">
      <c r="A191" s="1" t="s">
        <v>276</v>
      </c>
      <c r="B191" s="5" t="s">
        <v>51</v>
      </c>
      <c r="C191" s="5" t="s">
        <v>75</v>
      </c>
      <c r="D191" s="5"/>
      <c r="E191" s="5">
        <v>29</v>
      </c>
      <c r="F191" s="6" t="s">
        <v>12</v>
      </c>
      <c r="G191" s="2" t="s">
        <v>98</v>
      </c>
      <c r="H191" s="2"/>
      <c r="I191" s="2">
        <v>19</v>
      </c>
      <c r="K191" t="str">
        <f t="shared" si="12"/>
        <v>R</v>
      </c>
      <c r="L191">
        <f t="shared" si="13"/>
        <v>10</v>
      </c>
      <c r="N191" s="7">
        <v>0.89532208646408096</v>
      </c>
      <c r="O191" t="str">
        <f t="shared" si="14"/>
        <v>R</v>
      </c>
      <c r="Q191">
        <f t="shared" si="15"/>
        <v>1</v>
      </c>
    </row>
    <row r="192" spans="1:17" ht="23.4" thickBot="1" x14ac:dyDescent="0.35">
      <c r="A192" s="1" t="s">
        <v>277</v>
      </c>
      <c r="B192" s="2" t="s">
        <v>52</v>
      </c>
      <c r="C192" s="2" t="s">
        <v>92</v>
      </c>
      <c r="D192" s="2"/>
      <c r="E192" s="2">
        <v>22</v>
      </c>
      <c r="F192" s="3" t="s">
        <v>38</v>
      </c>
      <c r="G192" s="4" t="s">
        <v>48</v>
      </c>
      <c r="H192" s="4"/>
      <c r="I192" s="4">
        <v>43</v>
      </c>
      <c r="K192" t="str">
        <f t="shared" si="12"/>
        <v>B</v>
      </c>
      <c r="L192">
        <f t="shared" si="13"/>
        <v>-21</v>
      </c>
      <c r="N192" s="7">
        <v>-0.72783595269253898</v>
      </c>
      <c r="O192" t="str">
        <f t="shared" si="14"/>
        <v>B</v>
      </c>
      <c r="Q192">
        <f t="shared" si="15"/>
        <v>1</v>
      </c>
    </row>
    <row r="193" spans="1:17" ht="23.4" thickBot="1" x14ac:dyDescent="0.35">
      <c r="A193" s="1" t="s">
        <v>278</v>
      </c>
      <c r="B193" s="5" t="s">
        <v>31</v>
      </c>
      <c r="C193" s="5" t="s">
        <v>27</v>
      </c>
      <c r="D193" s="5"/>
      <c r="E193" s="5">
        <v>27</v>
      </c>
      <c r="F193" s="6" t="s">
        <v>107</v>
      </c>
      <c r="G193" s="2" t="s">
        <v>87</v>
      </c>
      <c r="H193" s="2"/>
      <c r="I193" s="2">
        <v>13</v>
      </c>
      <c r="K193" t="str">
        <f t="shared" si="12"/>
        <v>R</v>
      </c>
      <c r="L193">
        <f t="shared" si="13"/>
        <v>14</v>
      </c>
      <c r="N193" s="7">
        <v>-1.36015755345231</v>
      </c>
      <c r="O193" t="str">
        <f t="shared" si="14"/>
        <v>B</v>
      </c>
      <c r="Q193">
        <f t="shared" si="15"/>
        <v>0</v>
      </c>
    </row>
    <row r="194" spans="1:17" ht="23.4" thickBot="1" x14ac:dyDescent="0.35">
      <c r="A194" s="1" t="s">
        <v>279</v>
      </c>
      <c r="B194" s="2" t="s">
        <v>25</v>
      </c>
      <c r="C194" s="2" t="s">
        <v>57</v>
      </c>
      <c r="D194" s="2"/>
      <c r="E194" s="2">
        <v>33</v>
      </c>
      <c r="F194" s="3" t="s">
        <v>83</v>
      </c>
      <c r="G194" s="4" t="s">
        <v>43</v>
      </c>
      <c r="H194" s="4"/>
      <c r="I194" s="4">
        <v>39</v>
      </c>
      <c r="K194" t="str">
        <f t="shared" si="12"/>
        <v>B</v>
      </c>
      <c r="L194">
        <f t="shared" si="13"/>
        <v>-6</v>
      </c>
      <c r="N194" s="7">
        <v>-0.16696581690923301</v>
      </c>
      <c r="O194" t="str">
        <f t="shared" si="14"/>
        <v>B</v>
      </c>
      <c r="Q194">
        <f t="shared" si="15"/>
        <v>1</v>
      </c>
    </row>
    <row r="195" spans="1:17" ht="23.4" thickBot="1" x14ac:dyDescent="0.35">
      <c r="A195" s="1" t="s">
        <v>280</v>
      </c>
      <c r="B195" s="5" t="s">
        <v>17</v>
      </c>
      <c r="C195" s="5" t="s">
        <v>81</v>
      </c>
      <c r="D195" s="5"/>
      <c r="E195" s="5">
        <v>39</v>
      </c>
      <c r="F195" s="6" t="s">
        <v>60</v>
      </c>
      <c r="G195" s="2" t="s">
        <v>28</v>
      </c>
      <c r="H195" s="2"/>
      <c r="I195" s="2">
        <v>17</v>
      </c>
      <c r="K195" t="str">
        <f t="shared" ref="K195:K209" si="16">IF(E195&gt;I195,"R",IF(E195=I195,"D","B"))</f>
        <v>R</v>
      </c>
      <c r="L195">
        <f t="shared" ref="L195:L209" si="17">E195-I195</f>
        <v>22</v>
      </c>
      <c r="N195" s="7">
        <v>1.0297263246127999</v>
      </c>
      <c r="O195" t="str">
        <f t="shared" ref="O195:O209" si="18">IF(N195&lt;0,"B","R")</f>
        <v>R</v>
      </c>
      <c r="Q195">
        <f t="shared" ref="Q195:Q209" si="19">IF(K195=O195,1,0)</f>
        <v>1</v>
      </c>
    </row>
    <row r="196" spans="1:17" ht="23.4" thickBot="1" x14ac:dyDescent="0.35">
      <c r="A196" s="1" t="s">
        <v>281</v>
      </c>
      <c r="B196" s="2" t="s">
        <v>23</v>
      </c>
      <c r="C196" s="2" t="s">
        <v>47</v>
      </c>
      <c r="D196" s="2"/>
      <c r="E196" s="2">
        <v>7</v>
      </c>
      <c r="F196" s="3" t="s">
        <v>102</v>
      </c>
      <c r="G196" s="4" t="s">
        <v>13</v>
      </c>
      <c r="H196" s="4"/>
      <c r="I196" s="4">
        <v>39</v>
      </c>
      <c r="K196" t="str">
        <f t="shared" si="16"/>
        <v>B</v>
      </c>
      <c r="L196">
        <f t="shared" si="17"/>
        <v>-32</v>
      </c>
      <c r="N196" s="7">
        <v>-0.44088906241326598</v>
      </c>
      <c r="O196" t="str">
        <f t="shared" si="18"/>
        <v>B</v>
      </c>
      <c r="Q196">
        <f t="shared" si="19"/>
        <v>1</v>
      </c>
    </row>
    <row r="197" spans="1:17" ht="23.4" thickBot="1" x14ac:dyDescent="0.35">
      <c r="A197" s="1" t="s">
        <v>282</v>
      </c>
      <c r="B197" s="5" t="s">
        <v>37</v>
      </c>
      <c r="C197" s="5" t="s">
        <v>26</v>
      </c>
      <c r="D197" s="5"/>
      <c r="E197" s="5">
        <v>39</v>
      </c>
      <c r="F197" s="6" t="s">
        <v>80</v>
      </c>
      <c r="G197" s="2" t="s">
        <v>7</v>
      </c>
      <c r="H197" s="2"/>
      <c r="I197" s="2">
        <v>16</v>
      </c>
      <c r="K197" t="str">
        <f t="shared" si="16"/>
        <v>R</v>
      </c>
      <c r="L197">
        <f t="shared" si="17"/>
        <v>23</v>
      </c>
      <c r="N197" s="7">
        <v>0.94027121797143998</v>
      </c>
      <c r="O197" t="str">
        <f t="shared" si="18"/>
        <v>R</v>
      </c>
      <c r="Q197">
        <f t="shared" si="19"/>
        <v>1</v>
      </c>
    </row>
    <row r="198" spans="1:17" ht="23.4" thickBot="1" x14ac:dyDescent="0.35">
      <c r="A198" s="1" t="s">
        <v>283</v>
      </c>
      <c r="B198" s="5" t="s">
        <v>21</v>
      </c>
      <c r="C198" s="5" t="s">
        <v>71</v>
      </c>
      <c r="D198" s="5"/>
      <c r="E198" s="5">
        <v>28</v>
      </c>
      <c r="F198" s="6" t="s">
        <v>5</v>
      </c>
      <c r="G198" s="2" t="s">
        <v>63</v>
      </c>
      <c r="H198" s="2"/>
      <c r="I198" s="2">
        <v>19</v>
      </c>
      <c r="K198" t="str">
        <f t="shared" si="16"/>
        <v>R</v>
      </c>
      <c r="L198">
        <f t="shared" si="17"/>
        <v>9</v>
      </c>
      <c r="N198" s="7">
        <v>0.58601700650621702</v>
      </c>
      <c r="O198" t="str">
        <f t="shared" si="18"/>
        <v>R</v>
      </c>
      <c r="Q198">
        <f t="shared" si="19"/>
        <v>1</v>
      </c>
    </row>
    <row r="199" spans="1:17" ht="23.4" thickBot="1" x14ac:dyDescent="0.35">
      <c r="A199" s="1" t="s">
        <v>284</v>
      </c>
      <c r="B199" s="2" t="s">
        <v>82</v>
      </c>
      <c r="C199" s="2" t="s">
        <v>58</v>
      </c>
      <c r="D199" s="2"/>
      <c r="E199" s="2">
        <v>11</v>
      </c>
      <c r="F199" s="3" t="s">
        <v>32</v>
      </c>
      <c r="G199" s="4" t="s">
        <v>41</v>
      </c>
      <c r="H199" s="4"/>
      <c r="I199" s="4">
        <v>44</v>
      </c>
      <c r="K199" t="str">
        <f t="shared" si="16"/>
        <v>B</v>
      </c>
      <c r="L199">
        <f t="shared" si="17"/>
        <v>-33</v>
      </c>
      <c r="N199" s="7">
        <v>-1.88180479369771</v>
      </c>
      <c r="O199" t="str">
        <f t="shared" si="18"/>
        <v>B</v>
      </c>
      <c r="Q199">
        <f t="shared" si="19"/>
        <v>1</v>
      </c>
    </row>
    <row r="200" spans="1:17" ht="23.4" thickBot="1" x14ac:dyDescent="0.35">
      <c r="A200" s="1" t="s">
        <v>285</v>
      </c>
      <c r="B200" s="5" t="s">
        <v>18</v>
      </c>
      <c r="C200" s="5" t="s">
        <v>91</v>
      </c>
      <c r="D200" s="5"/>
      <c r="E200" s="5">
        <v>38</v>
      </c>
      <c r="F200" s="6" t="s">
        <v>101</v>
      </c>
      <c r="G200" s="2" t="s">
        <v>76</v>
      </c>
      <c r="H200" s="2"/>
      <c r="I200" s="2">
        <v>29</v>
      </c>
      <c r="K200" t="str">
        <f t="shared" si="16"/>
        <v>R</v>
      </c>
      <c r="L200">
        <f t="shared" si="17"/>
        <v>9</v>
      </c>
      <c r="N200" s="7">
        <v>0.49199498739429698</v>
      </c>
      <c r="O200" t="str">
        <f t="shared" si="18"/>
        <v>R</v>
      </c>
      <c r="Q200">
        <f t="shared" si="19"/>
        <v>1</v>
      </c>
    </row>
    <row r="201" spans="1:17" ht="23.4" thickBot="1" x14ac:dyDescent="0.35">
      <c r="A201" s="1" t="s">
        <v>286</v>
      </c>
      <c r="B201" s="5" t="s">
        <v>67</v>
      </c>
      <c r="C201" s="5" t="s">
        <v>35</v>
      </c>
      <c r="D201" s="5"/>
      <c r="E201" s="5">
        <v>34</v>
      </c>
      <c r="F201" s="6" t="s">
        <v>96</v>
      </c>
      <c r="G201" s="2" t="s">
        <v>61</v>
      </c>
      <c r="H201" s="2"/>
      <c r="I201" s="2">
        <v>23</v>
      </c>
      <c r="K201" t="str">
        <f t="shared" si="16"/>
        <v>R</v>
      </c>
      <c r="L201">
        <f t="shared" si="17"/>
        <v>11</v>
      </c>
      <c r="N201" s="7">
        <v>-0.66356936453884197</v>
      </c>
      <c r="O201" t="str">
        <f t="shared" si="18"/>
        <v>B</v>
      </c>
      <c r="Q201">
        <f t="shared" si="19"/>
        <v>0</v>
      </c>
    </row>
    <row r="202" spans="1:17" ht="23.4" thickBot="1" x14ac:dyDescent="0.35">
      <c r="A202" s="1" t="s">
        <v>287</v>
      </c>
      <c r="B202" s="5" t="s">
        <v>78</v>
      </c>
      <c r="C202" s="5" t="s">
        <v>65</v>
      </c>
      <c r="D202" s="5"/>
      <c r="E202" s="5">
        <v>35</v>
      </c>
      <c r="F202" s="6" t="s">
        <v>10</v>
      </c>
      <c r="G202" s="2" t="s">
        <v>55</v>
      </c>
      <c r="H202" s="2"/>
      <c r="I202" s="2">
        <v>30</v>
      </c>
      <c r="K202" t="str">
        <f t="shared" si="16"/>
        <v>R</v>
      </c>
      <c r="L202">
        <f t="shared" si="17"/>
        <v>5</v>
      </c>
      <c r="N202" s="7">
        <v>-0.156366625714708</v>
      </c>
      <c r="O202" t="str">
        <f t="shared" si="18"/>
        <v>B</v>
      </c>
      <c r="Q202">
        <f t="shared" si="19"/>
        <v>0</v>
      </c>
    </row>
    <row r="203" spans="1:17" ht="23.4" thickBot="1" x14ac:dyDescent="0.35">
      <c r="A203" s="1" t="s">
        <v>288</v>
      </c>
      <c r="B203" s="2" t="s">
        <v>97</v>
      </c>
      <c r="C203" s="2" t="s">
        <v>46</v>
      </c>
      <c r="D203" s="2"/>
      <c r="E203" s="2">
        <v>25</v>
      </c>
      <c r="F203" s="3" t="s">
        <v>73</v>
      </c>
      <c r="G203" s="4" t="s">
        <v>100</v>
      </c>
      <c r="H203" s="4"/>
      <c r="I203" s="4">
        <v>35</v>
      </c>
      <c r="K203" t="str">
        <f t="shared" si="16"/>
        <v>B</v>
      </c>
      <c r="L203">
        <f t="shared" si="17"/>
        <v>-10</v>
      </c>
      <c r="N203" s="7">
        <v>3.8173615610523202E-2</v>
      </c>
      <c r="O203" t="str">
        <f t="shared" si="18"/>
        <v>R</v>
      </c>
      <c r="Q203">
        <f t="shared" si="19"/>
        <v>0</v>
      </c>
    </row>
    <row r="204" spans="1:17" ht="23.4" thickBot="1" x14ac:dyDescent="0.35">
      <c r="A204" s="1" t="s">
        <v>289</v>
      </c>
      <c r="B204" s="5" t="s">
        <v>11</v>
      </c>
      <c r="C204" s="5" t="s">
        <v>95</v>
      </c>
      <c r="D204" s="5"/>
      <c r="E204" s="5">
        <v>34</v>
      </c>
      <c r="F204" s="6" t="s">
        <v>22</v>
      </c>
      <c r="G204" s="2" t="s">
        <v>30</v>
      </c>
      <c r="H204" s="2"/>
      <c r="I204" s="2">
        <v>25</v>
      </c>
      <c r="K204" t="str">
        <f t="shared" si="16"/>
        <v>R</v>
      </c>
      <c r="L204">
        <f t="shared" si="17"/>
        <v>9</v>
      </c>
      <c r="N204" s="7">
        <v>-0.20335679433668999</v>
      </c>
      <c r="O204" t="str">
        <f t="shared" si="18"/>
        <v>B</v>
      </c>
      <c r="Q204">
        <f t="shared" si="19"/>
        <v>0</v>
      </c>
    </row>
    <row r="205" spans="1:17" ht="23.4" thickBot="1" x14ac:dyDescent="0.35">
      <c r="A205" s="1" t="s">
        <v>290</v>
      </c>
      <c r="B205" s="2" t="s">
        <v>33</v>
      </c>
      <c r="C205" s="2" t="s">
        <v>62</v>
      </c>
      <c r="D205" s="2"/>
      <c r="E205" s="2">
        <v>31</v>
      </c>
      <c r="F205" s="3" t="s">
        <v>70</v>
      </c>
      <c r="G205" s="4" t="s">
        <v>15</v>
      </c>
      <c r="H205" s="4"/>
      <c r="I205" s="4">
        <v>45</v>
      </c>
      <c r="K205" t="str">
        <f t="shared" si="16"/>
        <v>B</v>
      </c>
      <c r="L205">
        <f t="shared" si="17"/>
        <v>-14</v>
      </c>
      <c r="N205" s="7">
        <v>0.23392896960451101</v>
      </c>
      <c r="O205" t="str">
        <f t="shared" si="18"/>
        <v>R</v>
      </c>
      <c r="Q205">
        <f t="shared" si="19"/>
        <v>0</v>
      </c>
    </row>
    <row r="206" spans="1:17" ht="23.4" thickBot="1" x14ac:dyDescent="0.35">
      <c r="A206" s="1" t="s">
        <v>291</v>
      </c>
      <c r="B206" s="2" t="s">
        <v>16</v>
      </c>
      <c r="C206" s="2" t="s">
        <v>105</v>
      </c>
      <c r="D206" s="2"/>
      <c r="E206" s="2">
        <v>17</v>
      </c>
      <c r="F206" s="3" t="s">
        <v>53</v>
      </c>
      <c r="G206" s="4" t="s">
        <v>45</v>
      </c>
      <c r="H206" s="4"/>
      <c r="I206" s="4">
        <v>26</v>
      </c>
      <c r="K206" t="str">
        <f t="shared" si="16"/>
        <v>B</v>
      </c>
      <c r="L206">
        <f t="shared" si="17"/>
        <v>-9</v>
      </c>
      <c r="N206" s="7">
        <v>-0.74797170587747996</v>
      </c>
      <c r="O206" t="str">
        <f t="shared" si="18"/>
        <v>B</v>
      </c>
      <c r="Q206">
        <f t="shared" si="19"/>
        <v>1</v>
      </c>
    </row>
    <row r="207" spans="1:17" ht="23.4" thickBot="1" x14ac:dyDescent="0.35">
      <c r="A207" s="1" t="s">
        <v>292</v>
      </c>
      <c r="B207" s="2" t="s">
        <v>72</v>
      </c>
      <c r="C207" s="2" t="s">
        <v>77</v>
      </c>
      <c r="D207" s="2"/>
      <c r="E207" s="2">
        <v>33</v>
      </c>
      <c r="F207" s="3" t="s">
        <v>103</v>
      </c>
      <c r="G207" s="4" t="s">
        <v>36</v>
      </c>
      <c r="H207" s="4"/>
      <c r="I207" s="4">
        <v>35</v>
      </c>
      <c r="K207" t="str">
        <f t="shared" si="16"/>
        <v>B</v>
      </c>
      <c r="L207">
        <f t="shared" si="17"/>
        <v>-2</v>
      </c>
      <c r="N207" s="7">
        <v>-0.58186537461688304</v>
      </c>
      <c r="O207" t="str">
        <f t="shared" si="18"/>
        <v>B</v>
      </c>
      <c r="Q207">
        <f t="shared" si="19"/>
        <v>1</v>
      </c>
    </row>
    <row r="208" spans="1:17" ht="23.4" thickBot="1" x14ac:dyDescent="0.35">
      <c r="A208" s="1" t="s">
        <v>293</v>
      </c>
      <c r="B208" s="2" t="s">
        <v>56</v>
      </c>
      <c r="C208" s="2" t="s">
        <v>66</v>
      </c>
      <c r="D208" s="2"/>
      <c r="E208" s="2">
        <v>26</v>
      </c>
      <c r="F208" s="3" t="s">
        <v>93</v>
      </c>
      <c r="G208" s="4" t="s">
        <v>85</v>
      </c>
      <c r="H208" s="4"/>
      <c r="I208" s="4">
        <v>28</v>
      </c>
      <c r="K208" t="str">
        <f t="shared" si="16"/>
        <v>B</v>
      </c>
      <c r="L208">
        <f t="shared" si="17"/>
        <v>-2</v>
      </c>
      <c r="N208" s="7">
        <v>0.94713596968948</v>
      </c>
      <c r="O208" t="str">
        <f t="shared" si="18"/>
        <v>R</v>
      </c>
      <c r="Q208">
        <f t="shared" si="19"/>
        <v>0</v>
      </c>
    </row>
    <row r="209" spans="1:17" ht="23.4" thickBot="1" x14ac:dyDescent="0.35">
      <c r="A209" s="1" t="s">
        <v>294</v>
      </c>
      <c r="B209" s="2" t="s">
        <v>88</v>
      </c>
      <c r="C209" s="2" t="s">
        <v>40</v>
      </c>
      <c r="D209" s="2"/>
      <c r="E209" s="2">
        <v>31</v>
      </c>
      <c r="F209" s="3" t="s">
        <v>21</v>
      </c>
      <c r="G209" s="4" t="s">
        <v>57</v>
      </c>
      <c r="H209" s="4"/>
      <c r="I209" s="4">
        <v>45</v>
      </c>
      <c r="K209" t="str">
        <f t="shared" si="16"/>
        <v>B</v>
      </c>
      <c r="L209">
        <f t="shared" si="17"/>
        <v>-14</v>
      </c>
      <c r="N209" s="7">
        <v>-0.19000722206659301</v>
      </c>
      <c r="O209" t="str">
        <f t="shared" si="18"/>
        <v>B</v>
      </c>
      <c r="Q209">
        <f t="shared" si="19"/>
        <v>1</v>
      </c>
    </row>
    <row r="211" spans="1:17" x14ac:dyDescent="0.3">
      <c r="Q211" s="8"/>
    </row>
  </sheetData>
  <mergeCells count="6">
    <mergeCell ref="B1:D1"/>
    <mergeCell ref="F1:H1"/>
    <mergeCell ref="S21:Z23"/>
    <mergeCell ref="AA21:AG23"/>
    <mergeCell ref="S25:Z27"/>
    <mergeCell ref="AA25:AG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A198-8E4B-4C1F-9E82-F6C8B62846D8}">
  <dimension ref="A1:W19"/>
  <sheetViews>
    <sheetView tabSelected="1" topLeftCell="A3" zoomScale="72" zoomScaleNormal="166" workbookViewId="0">
      <selection activeCell="T10" sqref="T10"/>
    </sheetView>
  </sheetViews>
  <sheetFormatPr defaultRowHeight="14.4" x14ac:dyDescent="0.3"/>
  <cols>
    <col min="4" max="4" width="21.5546875" customWidth="1"/>
    <col min="10" max="10" width="22.88671875" customWidth="1"/>
    <col min="16" max="16" width="34.77734375" customWidth="1"/>
  </cols>
  <sheetData>
    <row r="1" spans="1:23" ht="77.400000000000006" x14ac:dyDescent="0.5">
      <c r="J1" s="12" t="s">
        <v>313</v>
      </c>
      <c r="P1" s="12" t="s">
        <v>314</v>
      </c>
    </row>
    <row r="2" spans="1:23" ht="15" thickBot="1" x14ac:dyDescent="0.35">
      <c r="A2" s="1" t="s">
        <v>29</v>
      </c>
      <c r="B2" s="2" t="s">
        <v>30</v>
      </c>
      <c r="C2" s="2" t="s">
        <v>31</v>
      </c>
      <c r="D2" s="2"/>
      <c r="E2" s="2">
        <v>31</v>
      </c>
      <c r="F2" s="3" t="s">
        <v>32</v>
      </c>
      <c r="G2" s="4" t="s">
        <v>33</v>
      </c>
      <c r="H2" s="4"/>
      <c r="I2" s="4">
        <v>40</v>
      </c>
      <c r="J2">
        <f>E2-40</f>
        <v>-9</v>
      </c>
      <c r="N2" t="s">
        <v>295</v>
      </c>
      <c r="P2">
        <v>-0.97515673662748203</v>
      </c>
    </row>
    <row r="3" spans="1:23" ht="23.4" thickBot="1" x14ac:dyDescent="0.35">
      <c r="A3" s="1" t="s">
        <v>127</v>
      </c>
      <c r="B3" s="2" t="s">
        <v>17</v>
      </c>
      <c r="C3" s="2" t="s">
        <v>102</v>
      </c>
      <c r="D3" s="2"/>
      <c r="E3" s="2">
        <v>27</v>
      </c>
      <c r="F3" s="3" t="s">
        <v>30</v>
      </c>
      <c r="G3" s="4" t="s">
        <v>55</v>
      </c>
      <c r="H3" s="4"/>
      <c r="I3" s="4">
        <v>44</v>
      </c>
      <c r="J3">
        <f>I3-E3</f>
        <v>17</v>
      </c>
      <c r="N3" t="s">
        <v>296</v>
      </c>
      <c r="P3">
        <v>0.44488103572620002</v>
      </c>
    </row>
    <row r="4" spans="1:23" ht="23.4" thickBot="1" x14ac:dyDescent="0.35">
      <c r="A4" s="1" t="s">
        <v>143</v>
      </c>
      <c r="B4" s="5" t="s">
        <v>30</v>
      </c>
      <c r="C4" s="5" t="s">
        <v>50</v>
      </c>
      <c r="D4" s="5"/>
      <c r="E4" s="5">
        <v>38</v>
      </c>
      <c r="F4" s="6" t="s">
        <v>71</v>
      </c>
      <c r="G4" s="2" t="s">
        <v>98</v>
      </c>
      <c r="H4" s="2"/>
      <c r="I4" s="2">
        <v>21</v>
      </c>
      <c r="J4">
        <f>E4-I4</f>
        <v>17</v>
      </c>
      <c r="N4" t="s">
        <v>297</v>
      </c>
      <c r="P4">
        <v>0.16331420190623799</v>
      </c>
    </row>
    <row r="5" spans="1:23" ht="23.4" thickBot="1" x14ac:dyDescent="0.35">
      <c r="A5" s="1" t="s">
        <v>164</v>
      </c>
      <c r="B5" s="2" t="s">
        <v>47</v>
      </c>
      <c r="C5" s="2" t="s">
        <v>7</v>
      </c>
      <c r="D5" s="2"/>
      <c r="E5" s="2">
        <v>18</v>
      </c>
      <c r="F5" s="3" t="s">
        <v>30</v>
      </c>
      <c r="G5" s="4" t="s">
        <v>86</v>
      </c>
      <c r="H5" s="4"/>
      <c r="I5" s="4">
        <v>28</v>
      </c>
      <c r="J5">
        <f>I5-E5</f>
        <v>10</v>
      </c>
      <c r="N5" t="s">
        <v>298</v>
      </c>
      <c r="P5">
        <v>0.132374624320795</v>
      </c>
    </row>
    <row r="6" spans="1:23" ht="23.4" thickBot="1" x14ac:dyDescent="0.35">
      <c r="A6" s="1" t="s">
        <v>184</v>
      </c>
      <c r="B6" s="2" t="s">
        <v>43</v>
      </c>
      <c r="C6" s="2" t="s">
        <v>5</v>
      </c>
      <c r="D6" s="2"/>
      <c r="E6" s="2">
        <v>0</v>
      </c>
      <c r="F6" s="3" t="s">
        <v>30</v>
      </c>
      <c r="G6" s="4" t="s">
        <v>96</v>
      </c>
      <c r="H6" s="4"/>
      <c r="I6" s="4">
        <v>34</v>
      </c>
      <c r="J6">
        <f>I6-E6</f>
        <v>34</v>
      </c>
      <c r="N6" t="s">
        <v>299</v>
      </c>
      <c r="P6">
        <v>0.65491222520105896</v>
      </c>
    </row>
    <row r="7" spans="1:23" ht="23.4" thickBot="1" x14ac:dyDescent="0.35">
      <c r="A7" s="1" t="s">
        <v>209</v>
      </c>
      <c r="B7" s="2" t="s">
        <v>21</v>
      </c>
      <c r="C7" s="2" t="s">
        <v>30</v>
      </c>
      <c r="D7" s="2"/>
      <c r="E7" s="2">
        <v>11</v>
      </c>
      <c r="F7" s="3" t="s">
        <v>107</v>
      </c>
      <c r="G7" s="4" t="s">
        <v>42</v>
      </c>
      <c r="H7" s="4"/>
      <c r="I7" s="4">
        <v>40</v>
      </c>
      <c r="J7">
        <f>E7-I7</f>
        <v>-29</v>
      </c>
      <c r="N7" t="s">
        <v>300</v>
      </c>
      <c r="P7">
        <v>-0.58814844461814098</v>
      </c>
    </row>
    <row r="8" spans="1:23" ht="23.4" thickBot="1" x14ac:dyDescent="0.35">
      <c r="A8" s="1" t="s">
        <v>230</v>
      </c>
      <c r="B8" s="2" t="s">
        <v>60</v>
      </c>
      <c r="C8" s="2" t="s">
        <v>30</v>
      </c>
      <c r="D8" s="2"/>
      <c r="E8" s="2">
        <v>9</v>
      </c>
      <c r="F8" s="3" t="s">
        <v>45</v>
      </c>
      <c r="G8" s="4" t="s">
        <v>10</v>
      </c>
      <c r="H8" s="4"/>
      <c r="I8" s="4">
        <v>39</v>
      </c>
      <c r="J8">
        <f>E8-I8</f>
        <v>-30</v>
      </c>
      <c r="N8" t="s">
        <v>309</v>
      </c>
      <c r="P8">
        <v>-0.88495803339536505</v>
      </c>
    </row>
    <row r="9" spans="1:23" ht="23.4" thickBot="1" x14ac:dyDescent="0.35">
      <c r="A9" s="1" t="s">
        <v>251</v>
      </c>
      <c r="B9" s="5" t="s">
        <v>28</v>
      </c>
      <c r="C9" s="5" t="s">
        <v>65</v>
      </c>
      <c r="D9" s="5"/>
      <c r="E9" s="5">
        <v>29</v>
      </c>
      <c r="F9" s="6" t="s">
        <v>61</v>
      </c>
      <c r="G9" s="2" t="s">
        <v>30</v>
      </c>
      <c r="H9" s="2"/>
      <c r="I9" s="2">
        <v>20</v>
      </c>
      <c r="J9">
        <f>I9-E9</f>
        <v>-9</v>
      </c>
      <c r="N9" t="s">
        <v>301</v>
      </c>
      <c r="P9">
        <v>0.36506947244682297</v>
      </c>
    </row>
    <row r="10" spans="1:23" ht="23.4" thickBot="1" x14ac:dyDescent="0.35">
      <c r="A10" s="1" t="s">
        <v>262</v>
      </c>
      <c r="B10" s="2" t="s">
        <v>12</v>
      </c>
      <c r="C10" s="2" t="s">
        <v>30</v>
      </c>
      <c r="D10" s="2"/>
      <c r="E10" s="2">
        <v>10</v>
      </c>
      <c r="F10" s="3" t="s">
        <v>36</v>
      </c>
      <c r="G10" s="4" t="s">
        <v>67</v>
      </c>
      <c r="H10" s="4"/>
      <c r="I10" s="4">
        <v>30</v>
      </c>
      <c r="J10">
        <f>E10-I10</f>
        <v>-20</v>
      </c>
      <c r="N10" t="s">
        <v>302</v>
      </c>
      <c r="P10">
        <v>-0.58546125616077704</v>
      </c>
    </row>
    <row r="11" spans="1:23" ht="23.4" thickBot="1" x14ac:dyDescent="0.35">
      <c r="A11" s="1" t="s">
        <v>289</v>
      </c>
      <c r="B11" s="5" t="s">
        <v>11</v>
      </c>
      <c r="C11" s="5" t="s">
        <v>95</v>
      </c>
      <c r="D11" s="5"/>
      <c r="E11" s="5">
        <v>34</v>
      </c>
      <c r="F11" s="6" t="s">
        <v>22</v>
      </c>
      <c r="G11" s="2" t="s">
        <v>30</v>
      </c>
      <c r="H11" s="2"/>
      <c r="I11" s="2">
        <v>25</v>
      </c>
      <c r="J11">
        <f>I11-E11</f>
        <v>-9</v>
      </c>
      <c r="N11" t="s">
        <v>303</v>
      </c>
      <c r="P11">
        <v>0.108796166637896</v>
      </c>
    </row>
    <row r="13" spans="1:23" x14ac:dyDescent="0.3">
      <c r="A13" t="s">
        <v>304</v>
      </c>
    </row>
    <row r="14" spans="1:23" x14ac:dyDescent="0.3">
      <c r="A14" t="s">
        <v>305</v>
      </c>
      <c r="P14" s="17" t="s">
        <v>312</v>
      </c>
      <c r="Q14" s="17"/>
      <c r="R14" s="17"/>
      <c r="S14" s="18">
        <f>CORREL(P2:P11,J2:J11)</f>
        <v>0.79842716486057708</v>
      </c>
      <c r="T14" s="18"/>
      <c r="U14" s="18"/>
      <c r="V14" s="18"/>
      <c r="W14" s="18"/>
    </row>
    <row r="15" spans="1:23" x14ac:dyDescent="0.3">
      <c r="A15" t="s">
        <v>306</v>
      </c>
      <c r="P15" s="17"/>
      <c r="Q15" s="17"/>
      <c r="R15" s="17"/>
      <c r="S15" s="18"/>
      <c r="T15" s="18"/>
      <c r="U15" s="18"/>
      <c r="V15" s="18"/>
      <c r="W15" s="18"/>
    </row>
    <row r="16" spans="1:23" x14ac:dyDescent="0.3">
      <c r="A16" t="s">
        <v>307</v>
      </c>
      <c r="P16" s="17"/>
      <c r="Q16" s="17"/>
      <c r="R16" s="17"/>
      <c r="S16" s="18"/>
      <c r="T16" s="18"/>
      <c r="U16" s="18"/>
      <c r="V16" s="18"/>
      <c r="W16" s="18"/>
    </row>
    <row r="17" spans="1:23" x14ac:dyDescent="0.3">
      <c r="A17" t="s">
        <v>308</v>
      </c>
      <c r="P17" s="17" t="s">
        <v>316</v>
      </c>
      <c r="Q17" s="17"/>
      <c r="R17" s="17"/>
      <c r="S17" s="19">
        <v>0.8</v>
      </c>
      <c r="T17" s="18"/>
      <c r="U17" s="18"/>
      <c r="V17" s="18"/>
      <c r="W17" s="18"/>
    </row>
    <row r="18" spans="1:23" x14ac:dyDescent="0.3">
      <c r="P18" s="17"/>
      <c r="Q18" s="17"/>
      <c r="R18" s="17"/>
      <c r="S18" s="18"/>
      <c r="T18" s="18"/>
      <c r="U18" s="18"/>
      <c r="V18" s="18"/>
      <c r="W18" s="18"/>
    </row>
    <row r="19" spans="1:23" x14ac:dyDescent="0.3">
      <c r="P19" s="17"/>
      <c r="Q19" s="17"/>
      <c r="R19" s="17"/>
      <c r="S19" s="18"/>
      <c r="T19" s="18"/>
      <c r="U19" s="18"/>
      <c r="V19" s="18"/>
      <c r="W19" s="18"/>
    </row>
  </sheetData>
  <mergeCells count="4">
    <mergeCell ref="P14:R16"/>
    <mergeCell ref="S14:W16"/>
    <mergeCell ref="P17:R19"/>
    <mergeCell ref="S17:W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matches</vt:lpstr>
      <vt:lpstr>86254B 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Lap Yu</dc:creator>
  <cp:lastModifiedBy>Lam Lap Yu</cp:lastModifiedBy>
  <dcterms:created xsi:type="dcterms:W3CDTF">2025-08-14T13:12:43Z</dcterms:created>
  <dcterms:modified xsi:type="dcterms:W3CDTF">2025-08-14T18:09:43Z</dcterms:modified>
</cp:coreProperties>
</file>